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Data Analysis projects\Finished\Pakcommerce_excel_dashboard\"/>
    </mc:Choice>
  </mc:AlternateContent>
  <xr:revisionPtr revIDLastSave="0" documentId="13_ncr:1_{F534EF00-11D0-4065-9212-119DB5141D06}" xr6:coauthVersionLast="47" xr6:coauthVersionMax="47" xr10:uidLastSave="{00000000-0000-0000-0000-000000000000}"/>
  <bookViews>
    <workbookView xWindow="-120" yWindow="-120" windowWidth="20730" windowHeight="11160" activeTab="4" xr2:uid="{61707CF0-0AB7-4451-B012-7C7022718478}"/>
  </bookViews>
  <sheets>
    <sheet name="Orders" sheetId="1" r:id="rId1"/>
    <sheet name="Products" sheetId="2" r:id="rId2"/>
    <sheet name="Customers" sheetId="3" r:id="rId3"/>
    <sheet name="Pivot Tables" sheetId="4" r:id="rId4"/>
    <sheet name="Dashboard" sheetId="6" r:id="rId5"/>
  </sheets>
  <definedNames>
    <definedName name="_xlnm._FilterDatabase" localSheetId="0" hidden="1">Orders!$A$1:$R$301</definedName>
    <definedName name="Slicer_Category">#N/A</definedName>
    <definedName name="Slicer_Customer_City">#N/A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5" i="1" l="1"/>
  <c r="N7" i="6" s="1"/>
  <c r="Q2" i="1"/>
  <c r="F7" i="6" s="1"/>
  <c r="Q1" i="1"/>
  <c r="Q3" i="1" s="1"/>
  <c r="W8" i="6"/>
  <c r="V7" i="6"/>
  <c r="R7" i="6"/>
  <c r="Q13" i="1"/>
  <c r="Q4" i="1"/>
  <c r="Q10" i="1"/>
  <c r="Q9" i="1"/>
  <c r="Q8" i="1"/>
  <c r="Q7" i="1"/>
  <c r="Q6"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2" i="1"/>
  <c r="I3" i="1"/>
  <c r="M3" i="1" s="1"/>
  <c r="I4" i="1"/>
  <c r="M4" i="1" s="1"/>
  <c r="I5" i="1"/>
  <c r="M5" i="1" s="1"/>
  <c r="I6" i="1"/>
  <c r="M6" i="1" s="1"/>
  <c r="I7" i="1"/>
  <c r="M7" i="1" s="1"/>
  <c r="I8" i="1"/>
  <c r="M8" i="1" s="1"/>
  <c r="I9" i="1"/>
  <c r="M9" i="1" s="1"/>
  <c r="I10" i="1"/>
  <c r="M10" i="1" s="1"/>
  <c r="I11" i="1"/>
  <c r="M11" i="1" s="1"/>
  <c r="I12" i="1"/>
  <c r="M12" i="1" s="1"/>
  <c r="I13" i="1"/>
  <c r="M13" i="1" s="1"/>
  <c r="I14" i="1"/>
  <c r="M14" i="1" s="1"/>
  <c r="I15" i="1"/>
  <c r="M15" i="1" s="1"/>
  <c r="I16" i="1"/>
  <c r="M16" i="1" s="1"/>
  <c r="I17" i="1"/>
  <c r="M17" i="1" s="1"/>
  <c r="I18" i="1"/>
  <c r="M18" i="1" s="1"/>
  <c r="I19" i="1"/>
  <c r="M19" i="1" s="1"/>
  <c r="I20" i="1"/>
  <c r="M20" i="1" s="1"/>
  <c r="I21" i="1"/>
  <c r="M21" i="1" s="1"/>
  <c r="I22" i="1"/>
  <c r="M22" i="1" s="1"/>
  <c r="I23" i="1"/>
  <c r="M23" i="1" s="1"/>
  <c r="I24" i="1"/>
  <c r="M24" i="1" s="1"/>
  <c r="I25" i="1"/>
  <c r="M25" i="1" s="1"/>
  <c r="I26" i="1"/>
  <c r="M26" i="1" s="1"/>
  <c r="I27" i="1"/>
  <c r="M27" i="1" s="1"/>
  <c r="I28" i="1"/>
  <c r="M28" i="1" s="1"/>
  <c r="I29" i="1"/>
  <c r="M29" i="1" s="1"/>
  <c r="I30" i="1"/>
  <c r="M30" i="1" s="1"/>
  <c r="I31" i="1"/>
  <c r="M31" i="1" s="1"/>
  <c r="I32" i="1"/>
  <c r="M32" i="1" s="1"/>
  <c r="I33" i="1"/>
  <c r="M33" i="1" s="1"/>
  <c r="I34" i="1"/>
  <c r="M34" i="1" s="1"/>
  <c r="I35" i="1"/>
  <c r="M35" i="1" s="1"/>
  <c r="I36" i="1"/>
  <c r="M36" i="1" s="1"/>
  <c r="I37" i="1"/>
  <c r="M37" i="1" s="1"/>
  <c r="I38" i="1"/>
  <c r="M38" i="1" s="1"/>
  <c r="I39" i="1"/>
  <c r="M39" i="1" s="1"/>
  <c r="I40" i="1"/>
  <c r="M40" i="1" s="1"/>
  <c r="I41" i="1"/>
  <c r="M41" i="1" s="1"/>
  <c r="I42" i="1"/>
  <c r="M42" i="1" s="1"/>
  <c r="I43" i="1"/>
  <c r="M43" i="1" s="1"/>
  <c r="I44" i="1"/>
  <c r="M44" i="1" s="1"/>
  <c r="I45" i="1"/>
  <c r="M45" i="1" s="1"/>
  <c r="I46" i="1"/>
  <c r="M46" i="1" s="1"/>
  <c r="I47" i="1"/>
  <c r="M47" i="1" s="1"/>
  <c r="I48" i="1"/>
  <c r="M48" i="1" s="1"/>
  <c r="I49" i="1"/>
  <c r="M49" i="1" s="1"/>
  <c r="I50" i="1"/>
  <c r="M50" i="1" s="1"/>
  <c r="I51" i="1"/>
  <c r="M51" i="1" s="1"/>
  <c r="I52" i="1"/>
  <c r="M52" i="1" s="1"/>
  <c r="I53" i="1"/>
  <c r="M53" i="1" s="1"/>
  <c r="I54" i="1"/>
  <c r="M54" i="1" s="1"/>
  <c r="I55" i="1"/>
  <c r="M55" i="1" s="1"/>
  <c r="I56" i="1"/>
  <c r="M56" i="1" s="1"/>
  <c r="I57" i="1"/>
  <c r="M57" i="1" s="1"/>
  <c r="I58" i="1"/>
  <c r="M58" i="1" s="1"/>
  <c r="I59" i="1"/>
  <c r="M59" i="1" s="1"/>
  <c r="I60" i="1"/>
  <c r="M60" i="1" s="1"/>
  <c r="I61" i="1"/>
  <c r="M61" i="1" s="1"/>
  <c r="I62" i="1"/>
  <c r="M62" i="1" s="1"/>
  <c r="I63" i="1"/>
  <c r="M63" i="1" s="1"/>
  <c r="I64" i="1"/>
  <c r="M64" i="1" s="1"/>
  <c r="I65" i="1"/>
  <c r="M65" i="1" s="1"/>
  <c r="I66" i="1"/>
  <c r="M66" i="1" s="1"/>
  <c r="I67" i="1"/>
  <c r="M67" i="1" s="1"/>
  <c r="I68" i="1"/>
  <c r="M68" i="1" s="1"/>
  <c r="I69" i="1"/>
  <c r="M69" i="1" s="1"/>
  <c r="I70" i="1"/>
  <c r="M70" i="1" s="1"/>
  <c r="I71" i="1"/>
  <c r="M71" i="1" s="1"/>
  <c r="I72" i="1"/>
  <c r="M72" i="1" s="1"/>
  <c r="I73" i="1"/>
  <c r="M73" i="1" s="1"/>
  <c r="I74" i="1"/>
  <c r="M74" i="1" s="1"/>
  <c r="I75" i="1"/>
  <c r="M75" i="1" s="1"/>
  <c r="I76" i="1"/>
  <c r="M76" i="1" s="1"/>
  <c r="I77" i="1"/>
  <c r="M77" i="1" s="1"/>
  <c r="I78" i="1"/>
  <c r="M78" i="1" s="1"/>
  <c r="I79" i="1"/>
  <c r="M79" i="1" s="1"/>
  <c r="I80" i="1"/>
  <c r="M80" i="1" s="1"/>
  <c r="I81" i="1"/>
  <c r="M81" i="1" s="1"/>
  <c r="I82" i="1"/>
  <c r="M82" i="1" s="1"/>
  <c r="I83" i="1"/>
  <c r="M83" i="1" s="1"/>
  <c r="I84" i="1"/>
  <c r="M84" i="1" s="1"/>
  <c r="I85" i="1"/>
  <c r="M85" i="1" s="1"/>
  <c r="I86" i="1"/>
  <c r="M86" i="1" s="1"/>
  <c r="I87" i="1"/>
  <c r="M87" i="1" s="1"/>
  <c r="I88" i="1"/>
  <c r="M88" i="1" s="1"/>
  <c r="I89" i="1"/>
  <c r="M89" i="1" s="1"/>
  <c r="I90" i="1"/>
  <c r="M90" i="1" s="1"/>
  <c r="I91" i="1"/>
  <c r="M91" i="1" s="1"/>
  <c r="I92" i="1"/>
  <c r="M92" i="1" s="1"/>
  <c r="I93" i="1"/>
  <c r="M93" i="1" s="1"/>
  <c r="I94" i="1"/>
  <c r="M94" i="1" s="1"/>
  <c r="I95" i="1"/>
  <c r="M95" i="1" s="1"/>
  <c r="I96" i="1"/>
  <c r="M96" i="1" s="1"/>
  <c r="I97" i="1"/>
  <c r="M97" i="1" s="1"/>
  <c r="I98" i="1"/>
  <c r="M98" i="1" s="1"/>
  <c r="I99" i="1"/>
  <c r="M99" i="1" s="1"/>
  <c r="I100" i="1"/>
  <c r="M100" i="1" s="1"/>
  <c r="I101" i="1"/>
  <c r="M101" i="1" s="1"/>
  <c r="I102" i="1"/>
  <c r="M102" i="1" s="1"/>
  <c r="I103" i="1"/>
  <c r="M103" i="1" s="1"/>
  <c r="I104" i="1"/>
  <c r="M104" i="1" s="1"/>
  <c r="I105" i="1"/>
  <c r="M105" i="1" s="1"/>
  <c r="I106" i="1"/>
  <c r="M106" i="1" s="1"/>
  <c r="I107" i="1"/>
  <c r="M107" i="1" s="1"/>
  <c r="I108" i="1"/>
  <c r="M108" i="1" s="1"/>
  <c r="I109" i="1"/>
  <c r="M109" i="1" s="1"/>
  <c r="I110" i="1"/>
  <c r="M110" i="1" s="1"/>
  <c r="I111" i="1"/>
  <c r="M111" i="1" s="1"/>
  <c r="I112" i="1"/>
  <c r="M112" i="1" s="1"/>
  <c r="I113" i="1"/>
  <c r="M113" i="1" s="1"/>
  <c r="I114" i="1"/>
  <c r="M114" i="1" s="1"/>
  <c r="I115" i="1"/>
  <c r="M115" i="1" s="1"/>
  <c r="I116" i="1"/>
  <c r="M116" i="1" s="1"/>
  <c r="I117" i="1"/>
  <c r="M117" i="1" s="1"/>
  <c r="I118" i="1"/>
  <c r="M118" i="1" s="1"/>
  <c r="I119" i="1"/>
  <c r="M119" i="1" s="1"/>
  <c r="I120" i="1"/>
  <c r="M120" i="1" s="1"/>
  <c r="I121" i="1"/>
  <c r="M121" i="1" s="1"/>
  <c r="I122" i="1"/>
  <c r="M122" i="1" s="1"/>
  <c r="I123" i="1"/>
  <c r="M123" i="1" s="1"/>
  <c r="I124" i="1"/>
  <c r="M124" i="1" s="1"/>
  <c r="I125" i="1"/>
  <c r="M125" i="1" s="1"/>
  <c r="I126" i="1"/>
  <c r="M126" i="1" s="1"/>
  <c r="I127" i="1"/>
  <c r="M127" i="1" s="1"/>
  <c r="I128" i="1"/>
  <c r="M128" i="1" s="1"/>
  <c r="I129" i="1"/>
  <c r="M129" i="1" s="1"/>
  <c r="I130" i="1"/>
  <c r="M130" i="1" s="1"/>
  <c r="I131" i="1"/>
  <c r="M131" i="1" s="1"/>
  <c r="I132" i="1"/>
  <c r="M132" i="1" s="1"/>
  <c r="I133" i="1"/>
  <c r="M133" i="1" s="1"/>
  <c r="I134" i="1"/>
  <c r="M134" i="1" s="1"/>
  <c r="I135" i="1"/>
  <c r="M135" i="1" s="1"/>
  <c r="I136" i="1"/>
  <c r="M136" i="1" s="1"/>
  <c r="I137" i="1"/>
  <c r="M137" i="1" s="1"/>
  <c r="I138" i="1"/>
  <c r="M138" i="1" s="1"/>
  <c r="I139" i="1"/>
  <c r="M139" i="1" s="1"/>
  <c r="I140" i="1"/>
  <c r="M140" i="1" s="1"/>
  <c r="I141" i="1"/>
  <c r="M141" i="1" s="1"/>
  <c r="I142" i="1"/>
  <c r="M142" i="1" s="1"/>
  <c r="I143" i="1"/>
  <c r="M143" i="1" s="1"/>
  <c r="I144" i="1"/>
  <c r="M144" i="1" s="1"/>
  <c r="I145" i="1"/>
  <c r="M145" i="1" s="1"/>
  <c r="I146" i="1"/>
  <c r="M146" i="1" s="1"/>
  <c r="I147" i="1"/>
  <c r="M147" i="1" s="1"/>
  <c r="I148" i="1"/>
  <c r="M148" i="1" s="1"/>
  <c r="I149" i="1"/>
  <c r="M149" i="1" s="1"/>
  <c r="I150" i="1"/>
  <c r="M150" i="1" s="1"/>
  <c r="I151" i="1"/>
  <c r="M151" i="1" s="1"/>
  <c r="I152" i="1"/>
  <c r="M152" i="1" s="1"/>
  <c r="I153" i="1"/>
  <c r="M153" i="1" s="1"/>
  <c r="I154" i="1"/>
  <c r="M154" i="1" s="1"/>
  <c r="I155" i="1"/>
  <c r="M155" i="1" s="1"/>
  <c r="I156" i="1"/>
  <c r="M156" i="1" s="1"/>
  <c r="I157" i="1"/>
  <c r="M157" i="1" s="1"/>
  <c r="I158" i="1"/>
  <c r="M158" i="1" s="1"/>
  <c r="I159" i="1"/>
  <c r="M159" i="1" s="1"/>
  <c r="I160" i="1"/>
  <c r="M160" i="1" s="1"/>
  <c r="I161" i="1"/>
  <c r="M161" i="1" s="1"/>
  <c r="I162" i="1"/>
  <c r="M162" i="1" s="1"/>
  <c r="I163" i="1"/>
  <c r="M163" i="1" s="1"/>
  <c r="I164" i="1"/>
  <c r="M164" i="1" s="1"/>
  <c r="I165" i="1"/>
  <c r="M165" i="1" s="1"/>
  <c r="I166" i="1"/>
  <c r="M166" i="1" s="1"/>
  <c r="I167" i="1"/>
  <c r="M167" i="1" s="1"/>
  <c r="I168" i="1"/>
  <c r="M168" i="1" s="1"/>
  <c r="I169" i="1"/>
  <c r="M169" i="1" s="1"/>
  <c r="I170" i="1"/>
  <c r="M170" i="1" s="1"/>
  <c r="I171" i="1"/>
  <c r="M171" i="1" s="1"/>
  <c r="I172" i="1"/>
  <c r="M172" i="1" s="1"/>
  <c r="I173" i="1"/>
  <c r="M173" i="1" s="1"/>
  <c r="I174" i="1"/>
  <c r="M174" i="1" s="1"/>
  <c r="I175" i="1"/>
  <c r="M175" i="1" s="1"/>
  <c r="I176" i="1"/>
  <c r="M176" i="1" s="1"/>
  <c r="I177" i="1"/>
  <c r="M177" i="1" s="1"/>
  <c r="I178" i="1"/>
  <c r="M178" i="1" s="1"/>
  <c r="I179" i="1"/>
  <c r="M179" i="1" s="1"/>
  <c r="I180" i="1"/>
  <c r="M180" i="1" s="1"/>
  <c r="I181" i="1"/>
  <c r="M181" i="1" s="1"/>
  <c r="I182" i="1"/>
  <c r="M182" i="1" s="1"/>
  <c r="I183" i="1"/>
  <c r="M183" i="1" s="1"/>
  <c r="I184" i="1"/>
  <c r="M184" i="1" s="1"/>
  <c r="I185" i="1"/>
  <c r="M185" i="1" s="1"/>
  <c r="I186" i="1"/>
  <c r="M186" i="1" s="1"/>
  <c r="I187" i="1"/>
  <c r="M187" i="1" s="1"/>
  <c r="I188" i="1"/>
  <c r="M188" i="1" s="1"/>
  <c r="I189" i="1"/>
  <c r="M189" i="1" s="1"/>
  <c r="I190" i="1"/>
  <c r="M190" i="1" s="1"/>
  <c r="I191" i="1"/>
  <c r="M191" i="1" s="1"/>
  <c r="I192" i="1"/>
  <c r="M192" i="1" s="1"/>
  <c r="I193" i="1"/>
  <c r="M193" i="1" s="1"/>
  <c r="I194" i="1"/>
  <c r="M194" i="1" s="1"/>
  <c r="I195" i="1"/>
  <c r="M195" i="1" s="1"/>
  <c r="I196" i="1"/>
  <c r="M196" i="1" s="1"/>
  <c r="I197" i="1"/>
  <c r="M197" i="1" s="1"/>
  <c r="I198" i="1"/>
  <c r="M198" i="1" s="1"/>
  <c r="I199" i="1"/>
  <c r="M199" i="1" s="1"/>
  <c r="I200" i="1"/>
  <c r="M200" i="1" s="1"/>
  <c r="I201" i="1"/>
  <c r="M201" i="1" s="1"/>
  <c r="I202" i="1"/>
  <c r="M202" i="1" s="1"/>
  <c r="I203" i="1"/>
  <c r="M203" i="1" s="1"/>
  <c r="I204" i="1"/>
  <c r="M204" i="1" s="1"/>
  <c r="I205" i="1"/>
  <c r="M205" i="1" s="1"/>
  <c r="I206" i="1"/>
  <c r="M206" i="1" s="1"/>
  <c r="I207" i="1"/>
  <c r="M207" i="1" s="1"/>
  <c r="I208" i="1"/>
  <c r="M208" i="1" s="1"/>
  <c r="I209" i="1"/>
  <c r="M209" i="1" s="1"/>
  <c r="I210" i="1"/>
  <c r="M210" i="1" s="1"/>
  <c r="I211" i="1"/>
  <c r="M211" i="1" s="1"/>
  <c r="I212" i="1"/>
  <c r="M212" i="1" s="1"/>
  <c r="I213" i="1"/>
  <c r="M213" i="1" s="1"/>
  <c r="I214" i="1"/>
  <c r="M214" i="1" s="1"/>
  <c r="I215" i="1"/>
  <c r="M215" i="1" s="1"/>
  <c r="I216" i="1"/>
  <c r="M216" i="1" s="1"/>
  <c r="I217" i="1"/>
  <c r="M217" i="1" s="1"/>
  <c r="I218" i="1"/>
  <c r="M218" i="1" s="1"/>
  <c r="I219" i="1"/>
  <c r="M219" i="1" s="1"/>
  <c r="I220" i="1"/>
  <c r="M220" i="1" s="1"/>
  <c r="I221" i="1"/>
  <c r="M221" i="1" s="1"/>
  <c r="I222" i="1"/>
  <c r="M222" i="1" s="1"/>
  <c r="I223" i="1"/>
  <c r="M223" i="1" s="1"/>
  <c r="I224" i="1"/>
  <c r="M224" i="1" s="1"/>
  <c r="I225" i="1"/>
  <c r="M225" i="1" s="1"/>
  <c r="I226" i="1"/>
  <c r="M226" i="1" s="1"/>
  <c r="I227" i="1"/>
  <c r="M227" i="1" s="1"/>
  <c r="I228" i="1"/>
  <c r="M228" i="1" s="1"/>
  <c r="I229" i="1"/>
  <c r="M229" i="1" s="1"/>
  <c r="I230" i="1"/>
  <c r="M230" i="1" s="1"/>
  <c r="I231" i="1"/>
  <c r="M231" i="1" s="1"/>
  <c r="I232" i="1"/>
  <c r="M232" i="1" s="1"/>
  <c r="I233" i="1"/>
  <c r="M233" i="1" s="1"/>
  <c r="I234" i="1"/>
  <c r="M234" i="1" s="1"/>
  <c r="I235" i="1"/>
  <c r="M235" i="1" s="1"/>
  <c r="I236" i="1"/>
  <c r="M236" i="1" s="1"/>
  <c r="I237" i="1"/>
  <c r="M237" i="1" s="1"/>
  <c r="I238" i="1"/>
  <c r="M238" i="1" s="1"/>
  <c r="I239" i="1"/>
  <c r="M239" i="1" s="1"/>
  <c r="I240" i="1"/>
  <c r="M240" i="1" s="1"/>
  <c r="I241" i="1"/>
  <c r="M241" i="1" s="1"/>
  <c r="I242" i="1"/>
  <c r="M242" i="1" s="1"/>
  <c r="I243" i="1"/>
  <c r="M243" i="1" s="1"/>
  <c r="I244" i="1"/>
  <c r="M244" i="1" s="1"/>
  <c r="I245" i="1"/>
  <c r="M245" i="1" s="1"/>
  <c r="I246" i="1"/>
  <c r="M246" i="1" s="1"/>
  <c r="I247" i="1"/>
  <c r="M247" i="1" s="1"/>
  <c r="I248" i="1"/>
  <c r="M248" i="1" s="1"/>
  <c r="I249" i="1"/>
  <c r="M249" i="1" s="1"/>
  <c r="I250" i="1"/>
  <c r="M250" i="1" s="1"/>
  <c r="I251" i="1"/>
  <c r="M251" i="1" s="1"/>
  <c r="I252" i="1"/>
  <c r="M252" i="1" s="1"/>
  <c r="I253" i="1"/>
  <c r="M253" i="1" s="1"/>
  <c r="I254" i="1"/>
  <c r="M254" i="1" s="1"/>
  <c r="I255" i="1"/>
  <c r="M255" i="1" s="1"/>
  <c r="I256" i="1"/>
  <c r="M256" i="1" s="1"/>
  <c r="I257" i="1"/>
  <c r="M257" i="1" s="1"/>
  <c r="I258" i="1"/>
  <c r="M258" i="1" s="1"/>
  <c r="I259" i="1"/>
  <c r="M259" i="1" s="1"/>
  <c r="I260" i="1"/>
  <c r="M260" i="1" s="1"/>
  <c r="I261" i="1"/>
  <c r="M261" i="1" s="1"/>
  <c r="I262" i="1"/>
  <c r="M262" i="1" s="1"/>
  <c r="I263" i="1"/>
  <c r="M263" i="1" s="1"/>
  <c r="I264" i="1"/>
  <c r="M264" i="1" s="1"/>
  <c r="I265" i="1"/>
  <c r="M265" i="1" s="1"/>
  <c r="I266" i="1"/>
  <c r="M266" i="1" s="1"/>
  <c r="I267" i="1"/>
  <c r="M267" i="1" s="1"/>
  <c r="I268" i="1"/>
  <c r="M268" i="1" s="1"/>
  <c r="I269" i="1"/>
  <c r="M269" i="1" s="1"/>
  <c r="I270" i="1"/>
  <c r="M270" i="1" s="1"/>
  <c r="I271" i="1"/>
  <c r="M271" i="1" s="1"/>
  <c r="I272" i="1"/>
  <c r="M272" i="1" s="1"/>
  <c r="I273" i="1"/>
  <c r="M273" i="1" s="1"/>
  <c r="I274" i="1"/>
  <c r="M274" i="1" s="1"/>
  <c r="I275" i="1"/>
  <c r="M275" i="1" s="1"/>
  <c r="I276" i="1"/>
  <c r="M276" i="1" s="1"/>
  <c r="I277" i="1"/>
  <c r="M277" i="1" s="1"/>
  <c r="I278" i="1"/>
  <c r="M278" i="1" s="1"/>
  <c r="I279" i="1"/>
  <c r="M279" i="1" s="1"/>
  <c r="I280" i="1"/>
  <c r="M280" i="1" s="1"/>
  <c r="I281" i="1"/>
  <c r="M281" i="1" s="1"/>
  <c r="I282" i="1"/>
  <c r="M282" i="1" s="1"/>
  <c r="I283" i="1"/>
  <c r="M283" i="1" s="1"/>
  <c r="I284" i="1"/>
  <c r="M284" i="1" s="1"/>
  <c r="I285" i="1"/>
  <c r="M285" i="1" s="1"/>
  <c r="I286" i="1"/>
  <c r="M286" i="1" s="1"/>
  <c r="I287" i="1"/>
  <c r="M287" i="1" s="1"/>
  <c r="I288" i="1"/>
  <c r="M288" i="1" s="1"/>
  <c r="I289" i="1"/>
  <c r="M289" i="1" s="1"/>
  <c r="I290" i="1"/>
  <c r="M290" i="1" s="1"/>
  <c r="I291" i="1"/>
  <c r="M291" i="1" s="1"/>
  <c r="I292" i="1"/>
  <c r="M292" i="1" s="1"/>
  <c r="I293" i="1"/>
  <c r="M293" i="1" s="1"/>
  <c r="I294" i="1"/>
  <c r="M294" i="1" s="1"/>
  <c r="I295" i="1"/>
  <c r="M295" i="1" s="1"/>
  <c r="I296" i="1"/>
  <c r="M296" i="1" s="1"/>
  <c r="I297" i="1"/>
  <c r="M297" i="1" s="1"/>
  <c r="I298" i="1"/>
  <c r="M298" i="1" s="1"/>
  <c r="I299" i="1"/>
  <c r="M299" i="1" s="1"/>
  <c r="I300" i="1"/>
  <c r="M300" i="1" s="1"/>
  <c r="I301" i="1"/>
  <c r="M301" i="1" s="1"/>
  <c r="I2" i="1"/>
  <c r="M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2" i="1"/>
  <c r="J7" i="6" l="1"/>
  <c r="B7" i="6"/>
</calcChain>
</file>

<file path=xl/sharedStrings.xml><?xml version="1.0" encoding="utf-8"?>
<sst xmlns="http://schemas.openxmlformats.org/spreadsheetml/2006/main" count="1622" uniqueCount="513">
  <si>
    <t>Order_ID</t>
  </si>
  <si>
    <t>Customer_ID</t>
  </si>
  <si>
    <t>Product_ID</t>
  </si>
  <si>
    <t>Quantity</t>
  </si>
  <si>
    <t>Order_Date</t>
  </si>
  <si>
    <t>Status</t>
  </si>
  <si>
    <t>O001</t>
  </si>
  <si>
    <t>C012</t>
  </si>
  <si>
    <t>P05</t>
  </si>
  <si>
    <t>Delivered</t>
  </si>
  <si>
    <t>O002</t>
  </si>
  <si>
    <t>C034</t>
  </si>
  <si>
    <t>P12</t>
  </si>
  <si>
    <t>O003</t>
  </si>
  <si>
    <t>C007</t>
  </si>
  <si>
    <t>P03</t>
  </si>
  <si>
    <t>O004</t>
  </si>
  <si>
    <t>C021</t>
  </si>
  <si>
    <t>P08</t>
  </si>
  <si>
    <t>Returned</t>
  </si>
  <si>
    <t>O005</t>
  </si>
  <si>
    <t>C045</t>
  </si>
  <si>
    <t>P15</t>
  </si>
  <si>
    <t>O006</t>
  </si>
  <si>
    <t>C003</t>
  </si>
  <si>
    <t>P07</t>
  </si>
  <si>
    <t>O007</t>
  </si>
  <si>
    <t>C018</t>
  </si>
  <si>
    <t>P02</t>
  </si>
  <si>
    <t>Pending</t>
  </si>
  <si>
    <t>O008</t>
  </si>
  <si>
    <t>C029</t>
  </si>
  <si>
    <t>P11</t>
  </si>
  <si>
    <t>O009</t>
  </si>
  <si>
    <t>C041</t>
  </si>
  <si>
    <t>P06</t>
  </si>
  <si>
    <t>O010</t>
  </si>
  <si>
    <t>C015</t>
  </si>
  <si>
    <t>P14</t>
  </si>
  <si>
    <t>O011</t>
  </si>
  <si>
    <t>C008</t>
  </si>
  <si>
    <t>P01</t>
  </si>
  <si>
    <t>O012</t>
  </si>
  <si>
    <t>C037</t>
  </si>
  <si>
    <t>P09</t>
  </si>
  <si>
    <t>O013</t>
  </si>
  <si>
    <t>C022</t>
  </si>
  <si>
    <t>P13</t>
  </si>
  <si>
    <t>O014</t>
  </si>
  <si>
    <t>C006</t>
  </si>
  <si>
    <t>P04</t>
  </si>
  <si>
    <t>O015</t>
  </si>
  <si>
    <t>C033</t>
  </si>
  <si>
    <t>P10</t>
  </si>
  <si>
    <t>O016</t>
  </si>
  <si>
    <t>C044</t>
  </si>
  <si>
    <t>O017</t>
  </si>
  <si>
    <t>C011</t>
  </si>
  <si>
    <t>O018</t>
  </si>
  <si>
    <t>C028</t>
  </si>
  <si>
    <t>O019</t>
  </si>
  <si>
    <t>C002</t>
  </si>
  <si>
    <t>O020</t>
  </si>
  <si>
    <t>C039</t>
  </si>
  <si>
    <t>O021</t>
  </si>
  <si>
    <t>C016</t>
  </si>
  <si>
    <t>O022</t>
  </si>
  <si>
    <t>C031</t>
  </si>
  <si>
    <t>O023</t>
  </si>
  <si>
    <t>C048</t>
  </si>
  <si>
    <t>O024</t>
  </si>
  <si>
    <t>C009</t>
  </si>
  <si>
    <t>O025</t>
  </si>
  <si>
    <t>C025</t>
  </si>
  <si>
    <t>O026</t>
  </si>
  <si>
    <t>C042</t>
  </si>
  <si>
    <t>O027</t>
  </si>
  <si>
    <t>C014</t>
  </si>
  <si>
    <t>O028</t>
  </si>
  <si>
    <t>C036</t>
  </si>
  <si>
    <t>O029</t>
  </si>
  <si>
    <t>C001</t>
  </si>
  <si>
    <t>O030</t>
  </si>
  <si>
    <t>C027</t>
  </si>
  <si>
    <t>O031</t>
  </si>
  <si>
    <t>C050</t>
  </si>
  <si>
    <t>O032</t>
  </si>
  <si>
    <t>C013</t>
  </si>
  <si>
    <t>O033</t>
  </si>
  <si>
    <t>C038</t>
  </si>
  <si>
    <t>O034</t>
  </si>
  <si>
    <t>C004</t>
  </si>
  <si>
    <t>O035</t>
  </si>
  <si>
    <t>C023</t>
  </si>
  <si>
    <t>O036</t>
  </si>
  <si>
    <t>C046</t>
  </si>
  <si>
    <t>O037</t>
  </si>
  <si>
    <t>C010</t>
  </si>
  <si>
    <t>O038</t>
  </si>
  <si>
    <t>C032</t>
  </si>
  <si>
    <t>O039</t>
  </si>
  <si>
    <t>C019</t>
  </si>
  <si>
    <t>O040</t>
  </si>
  <si>
    <t>C043</t>
  </si>
  <si>
    <t>O041</t>
  </si>
  <si>
    <t>O042</t>
  </si>
  <si>
    <t>C030</t>
  </si>
  <si>
    <t>O043</t>
  </si>
  <si>
    <t>C047</t>
  </si>
  <si>
    <t>O044</t>
  </si>
  <si>
    <t>C005</t>
  </si>
  <si>
    <t>O045</t>
  </si>
  <si>
    <t>C024</t>
  </si>
  <si>
    <t>O046</t>
  </si>
  <si>
    <t>C040</t>
  </si>
  <si>
    <t>O047</t>
  </si>
  <si>
    <t>C017</t>
  </si>
  <si>
    <t>O048</t>
  </si>
  <si>
    <t>C035</t>
  </si>
  <si>
    <t>O049</t>
  </si>
  <si>
    <t>C026</t>
  </si>
  <si>
    <t>O050</t>
  </si>
  <si>
    <t>C049</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</si>
  <si>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</si>
  <si>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</si>
  <si>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</si>
  <si>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</si>
  <si>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</si>
  <si>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</si>
  <si>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</si>
  <si>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</si>
  <si>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</si>
  <si>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</si>
  <si>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</si>
  <si>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</si>
  <si>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</si>
  <si>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</si>
  <si>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</si>
  <si>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</si>
  <si>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</si>
  <si>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</si>
  <si>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</si>
  <si>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</si>
  <si>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</si>
  <si>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</si>
  <si>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</si>
  <si>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</si>
  <si>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</si>
  <si>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</si>
  <si>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</si>
  <si>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</si>
  <si>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</si>
  <si>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</si>
  <si>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</si>
  <si>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</si>
  <si>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</si>
  <si>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</si>
  <si>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</si>
  <si>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</si>
  <si>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</si>
  <si>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</si>
  <si>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</si>
  <si>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O090</t>
  </si>
  <si>
    <t>O091</t>
  </si>
  <si>
    <t>O092</t>
  </si>
  <si>
    <t>O093</t>
  </si>
  <si>
    <t>O094</t>
  </si>
  <si>
    <t>O095</t>
  </si>
  <si>
    <t>O096</t>
  </si>
  <si>
    <t>O097</t>
  </si>
  <si>
    <t>O098</t>
  </si>
  <si>
    <t>O099</t>
  </si>
  <si>
    <t>O100</t>
  </si>
  <si>
    <t>O101</t>
  </si>
  <si>
    <t>O102</t>
  </si>
  <si>
    <t>O103</t>
  </si>
  <si>
    <t>O104</t>
  </si>
  <si>
    <t>O105</t>
  </si>
  <si>
    <t>O106</t>
  </si>
  <si>
    <t>O107</t>
  </si>
  <si>
    <t>O108</t>
  </si>
  <si>
    <t>O109</t>
  </si>
  <si>
    <t>O110</t>
  </si>
  <si>
    <t>O111</t>
  </si>
  <si>
    <t>O112</t>
  </si>
  <si>
    <t>O113</t>
  </si>
  <si>
    <t>O114</t>
  </si>
  <si>
    <t>O115</t>
  </si>
  <si>
    <t>O116</t>
  </si>
  <si>
    <t>O117</t>
  </si>
  <si>
    <t>O118</t>
  </si>
  <si>
    <t>O119</t>
  </si>
  <si>
    <t>O120</t>
  </si>
  <si>
    <t>O121</t>
  </si>
  <si>
    <t>O122</t>
  </si>
  <si>
    <t>O123</t>
  </si>
  <si>
    <t>O124</t>
  </si>
  <si>
    <t>O125</t>
  </si>
  <si>
    <t>O126</t>
  </si>
  <si>
    <t>O127</t>
  </si>
  <si>
    <t>O128</t>
  </si>
  <si>
    <t>O129</t>
  </si>
  <si>
    <t>O130</t>
  </si>
  <si>
    <t>O131</t>
  </si>
  <si>
    <t>O132</t>
  </si>
  <si>
    <t>O133</t>
  </si>
  <si>
    <t>O134</t>
  </si>
  <si>
    <t>O135</t>
  </si>
  <si>
    <t>O136</t>
  </si>
  <si>
    <t>O137</t>
  </si>
  <si>
    <t>O138</t>
  </si>
  <si>
    <t>O139</t>
  </si>
  <si>
    <t>O140</t>
  </si>
  <si>
    <t>O141</t>
  </si>
  <si>
    <t>O142</t>
  </si>
  <si>
    <t>O143</t>
  </si>
  <si>
    <t>O144</t>
  </si>
  <si>
    <t>O145</t>
  </si>
  <si>
    <t>O146</t>
  </si>
  <si>
    <t>O147</t>
  </si>
  <si>
    <t>O148</t>
  </si>
  <si>
    <t>O149</t>
  </si>
  <si>
    <t>O150</t>
  </si>
  <si>
    <t>O151</t>
  </si>
  <si>
    <t>O152</t>
  </si>
  <si>
    <t>O153</t>
  </si>
  <si>
    <t>O154</t>
  </si>
  <si>
    <t>O155</t>
  </si>
  <si>
    <t>O156</t>
  </si>
  <si>
    <t>O157</t>
  </si>
  <si>
    <t>O158</t>
  </si>
  <si>
    <t>O159</t>
  </si>
  <si>
    <t>O160</t>
  </si>
  <si>
    <t>O161</t>
  </si>
  <si>
    <t>O162</t>
  </si>
  <si>
    <t>O163</t>
  </si>
  <si>
    <t>O164</t>
  </si>
  <si>
    <t>O165</t>
  </si>
  <si>
    <t>O166</t>
  </si>
  <si>
    <t>O167</t>
  </si>
  <si>
    <t>O168</t>
  </si>
  <si>
    <t>O169</t>
  </si>
  <si>
    <t>O170</t>
  </si>
  <si>
    <t>O171</t>
  </si>
  <si>
    <t>O172</t>
  </si>
  <si>
    <t>O173</t>
  </si>
  <si>
    <t>O174</t>
  </si>
  <si>
    <t>O175</t>
  </si>
  <si>
    <t>O176</t>
  </si>
  <si>
    <t>O177</t>
  </si>
  <si>
    <t>O178</t>
  </si>
  <si>
    <t>O179</t>
  </si>
  <si>
    <t>O180</t>
  </si>
  <si>
    <t>O181</t>
  </si>
  <si>
    <t>O182</t>
  </si>
  <si>
    <t>O183</t>
  </si>
  <si>
    <t>O184</t>
  </si>
  <si>
    <t>O185</t>
  </si>
  <si>
    <t>O186</t>
  </si>
  <si>
    <t>O187</t>
  </si>
  <si>
    <t>O188</t>
  </si>
  <si>
    <t>O189</t>
  </si>
  <si>
    <t>O190</t>
  </si>
  <si>
    <t>O191</t>
  </si>
  <si>
    <t>O192</t>
  </si>
  <si>
    <t>O193</t>
  </si>
  <si>
    <t>O194</t>
  </si>
  <si>
    <t>O195</t>
  </si>
  <si>
    <t>O196</t>
  </si>
  <si>
    <t>O197</t>
  </si>
  <si>
    <t>O198</t>
  </si>
  <si>
    <t>O199</t>
  </si>
  <si>
    <t>O200</t>
  </si>
  <si>
    <t>O201</t>
  </si>
  <si>
    <t>O202</t>
  </si>
  <si>
    <t>O203</t>
  </si>
  <si>
    <t>O204</t>
  </si>
  <si>
    <t>O205</t>
  </si>
  <si>
    <t>O206</t>
  </si>
  <si>
    <t>O207</t>
  </si>
  <si>
    <t>O208</t>
  </si>
  <si>
    <t>O209</t>
  </si>
  <si>
    <t>O210</t>
  </si>
  <si>
    <t>O211</t>
  </si>
  <si>
    <t>O212</t>
  </si>
  <si>
    <t>O213</t>
  </si>
  <si>
    <t>O214</t>
  </si>
  <si>
    <t>O215</t>
  </si>
  <si>
    <t>O216</t>
  </si>
  <si>
    <t>O217</t>
  </si>
  <si>
    <t>O218</t>
  </si>
  <si>
    <t>O219</t>
  </si>
  <si>
    <t>O220</t>
  </si>
  <si>
    <t>O221</t>
  </si>
  <si>
    <t>O222</t>
  </si>
  <si>
    <t>O223</t>
  </si>
  <si>
    <t>O224</t>
  </si>
  <si>
    <t>O225</t>
  </si>
  <si>
    <t>O226</t>
  </si>
  <si>
    <t>O227</t>
  </si>
  <si>
    <t>O228</t>
  </si>
  <si>
    <t>O229</t>
  </si>
  <si>
    <t>O230</t>
  </si>
  <si>
    <t>O231</t>
  </si>
  <si>
    <t>O232</t>
  </si>
  <si>
    <t>O233</t>
  </si>
  <si>
    <t>O234</t>
  </si>
  <si>
    <t>O235</t>
  </si>
  <si>
    <t>O236</t>
  </si>
  <si>
    <t>O237</t>
  </si>
  <si>
    <t>O238</t>
  </si>
  <si>
    <t>O239</t>
  </si>
  <si>
    <t>O240</t>
  </si>
  <si>
    <t>O241</t>
  </si>
  <si>
    <t>O242</t>
  </si>
  <si>
    <t>O243</t>
  </si>
  <si>
    <t>O244</t>
  </si>
  <si>
    <t>O245</t>
  </si>
  <si>
    <t>O246</t>
  </si>
  <si>
    <t>O247</t>
  </si>
  <si>
    <t>O248</t>
  </si>
  <si>
    <t>O249</t>
  </si>
  <si>
    <t>O250</t>
  </si>
  <si>
    <t>O251</t>
  </si>
  <si>
    <t>O252</t>
  </si>
  <si>
    <t>O253</t>
  </si>
  <si>
    <t>O254</t>
  </si>
  <si>
    <t>O255</t>
  </si>
  <si>
    <t>O256</t>
  </si>
  <si>
    <t>O257</t>
  </si>
  <si>
    <t>O258</t>
  </si>
  <si>
    <t>O259</t>
  </si>
  <si>
    <t>O260</t>
  </si>
  <si>
    <t>O261</t>
  </si>
  <si>
    <t>O262</t>
  </si>
  <si>
    <t>O263</t>
  </si>
  <si>
    <t>O264</t>
  </si>
  <si>
    <t>O265</t>
  </si>
  <si>
    <t>O266</t>
  </si>
  <si>
    <t>O267</t>
  </si>
  <si>
    <t>O268</t>
  </si>
  <si>
    <t>O269</t>
  </si>
  <si>
    <t>O270</t>
  </si>
  <si>
    <t>O271</t>
  </si>
  <si>
    <t>O272</t>
  </si>
  <si>
    <t>O273</t>
  </si>
  <si>
    <t>O274</t>
  </si>
  <si>
    <t>O275</t>
  </si>
  <si>
    <t>O276</t>
  </si>
  <si>
    <t>O277</t>
  </si>
  <si>
    <t>O278</t>
  </si>
  <si>
    <t>O279</t>
  </si>
  <si>
    <t>O280</t>
  </si>
  <si>
    <t>O281</t>
  </si>
  <si>
    <t>O282</t>
  </si>
  <si>
    <t>O283</t>
  </si>
  <si>
    <t>O284</t>
  </si>
  <si>
    <t>O285</t>
  </si>
  <si>
    <t>O286</t>
  </si>
  <si>
    <t>O287</t>
  </si>
  <si>
    <t>O288</t>
  </si>
  <si>
    <t>O289</t>
  </si>
  <si>
    <t>O290</t>
  </si>
  <si>
    <t>O291</t>
  </si>
  <si>
    <t>O292</t>
  </si>
  <si>
    <t>O293</t>
  </si>
  <si>
    <t>O294</t>
  </si>
  <si>
    <t>O295</t>
  </si>
  <si>
    <t>O296</t>
  </si>
  <si>
    <t>O297</t>
  </si>
  <si>
    <t>O298</t>
  </si>
  <si>
    <t>O299</t>
  </si>
  <si>
    <t>O300</t>
  </si>
  <si>
    <t>Customer_Name</t>
  </si>
  <si>
    <t>City</t>
  </si>
  <si>
    <t>Membership</t>
  </si>
  <si>
    <t>Ahmed Khan</t>
  </si>
  <si>
    <t>Karachi</t>
  </si>
  <si>
    <t>Gold</t>
  </si>
  <si>
    <t>Sara Ali</t>
  </si>
  <si>
    <t>Lahore</t>
  </si>
  <si>
    <t>Silver</t>
  </si>
  <si>
    <t>Bilal Raza</t>
  </si>
  <si>
    <t>Islamabad</t>
  </si>
  <si>
    <t>Bronze</t>
  </si>
  <si>
    <t>Fatima Malik</t>
  </si>
  <si>
    <t>Usman Sheikh</t>
  </si>
  <si>
    <t>Rawalpindi</t>
  </si>
  <si>
    <t>Zainab Hussain</t>
  </si>
  <si>
    <t>Omar Tariq</t>
  </si>
  <si>
    <t>Ayesha Siddiqui</t>
  </si>
  <si>
    <t>Bilal Ahmed</t>
  </si>
  <si>
    <t>Faisalabad</t>
  </si>
  <si>
    <t>Nadia Qureshi</t>
  </si>
  <si>
    <t>Hamza Tariq</t>
  </si>
  <si>
    <t>Mariam Javed</t>
  </si>
  <si>
    <t>Saad Butt</t>
  </si>
  <si>
    <t>Hina Awan</t>
  </si>
  <si>
    <t>Talha Mirza</t>
  </si>
  <si>
    <t>Rabia Noor</t>
  </si>
  <si>
    <t>Danish Khan</t>
  </si>
  <si>
    <t>Amna Rizvi</t>
  </si>
  <si>
    <t>Zubair Hassan</t>
  </si>
  <si>
    <t>C020</t>
  </si>
  <si>
    <t>Madiha Yousuf</t>
  </si>
  <si>
    <t>Faisal Chaudhry</t>
  </si>
  <si>
    <t>Noor Fatima</t>
  </si>
  <si>
    <t>Asad Mahmood</t>
  </si>
  <si>
    <t>Hira Baig</t>
  </si>
  <si>
    <t>Imran Satti</t>
  </si>
  <si>
    <t>Lubna Shah</t>
  </si>
  <si>
    <t>Junaid Alam</t>
  </si>
  <si>
    <t>Tariq Mehmood</t>
  </si>
  <si>
    <t>Sana Malik</t>
  </si>
  <si>
    <t>Ahmed Raza</t>
  </si>
  <si>
    <t>Kamran Iqbal</t>
  </si>
  <si>
    <t>Maham Rizvi</t>
  </si>
  <si>
    <t>Bilal Sheikh</t>
  </si>
  <si>
    <t>Rabia Tariq</t>
  </si>
  <si>
    <t>Yusuf Khan</t>
  </si>
  <si>
    <t>Sadia Awan</t>
  </si>
  <si>
    <t>Ali Hussain</t>
  </si>
  <si>
    <t>Mehwish Tariq</t>
  </si>
  <si>
    <t>Zara Malik</t>
  </si>
  <si>
    <t>Hassan Butt</t>
  </si>
  <si>
    <t>Farah Noor</t>
  </si>
  <si>
    <t>Imran Khan</t>
  </si>
  <si>
    <t>Sundas Ali</t>
  </si>
  <si>
    <t>Omer Farooq</t>
  </si>
  <si>
    <t>Maryam Shah</t>
  </si>
  <si>
    <t>Taha Qureshi</t>
  </si>
  <si>
    <t>Rida Fatima</t>
  </si>
  <si>
    <t>Nabeel Awan</t>
  </si>
  <si>
    <t>Zeeshan Malik</t>
  </si>
  <si>
    <t>Sobia Tariq</t>
  </si>
  <si>
    <t>Product_Name</t>
  </si>
  <si>
    <t>Category</t>
  </si>
  <si>
    <t>Unit_Price</t>
  </si>
  <si>
    <t>Supplier_City</t>
  </si>
  <si>
    <t>Smart Watch</t>
  </si>
  <si>
    <t>Electronics</t>
  </si>
  <si>
    <t>Wireless Earbuds</t>
  </si>
  <si>
    <t>Phone Case</t>
  </si>
  <si>
    <t>Bluetooth Speaker</t>
  </si>
  <si>
    <t>Laptop Stand</t>
  </si>
  <si>
    <t>Face Serum</t>
  </si>
  <si>
    <t>Beauty</t>
  </si>
  <si>
    <t>Sunscreen</t>
  </si>
  <si>
    <t>Hair Serum</t>
  </si>
  <si>
    <t>Moisturizer</t>
  </si>
  <si>
    <t>Night Cream</t>
  </si>
  <si>
    <t>Coffee Maker</t>
  </si>
  <si>
    <t>Home &amp; Kitchen</t>
  </si>
  <si>
    <t>Air Fryer</t>
  </si>
  <si>
    <t>Blender</t>
  </si>
  <si>
    <t>Rice Cooker</t>
  </si>
  <si>
    <t>Kettle</t>
  </si>
  <si>
    <t>Product name</t>
  </si>
  <si>
    <t>Unit_price</t>
  </si>
  <si>
    <t>Customer_name</t>
  </si>
  <si>
    <t>Customer_City</t>
  </si>
  <si>
    <t>Total_Revenue</t>
  </si>
  <si>
    <t>Supplier City</t>
  </si>
  <si>
    <t>Row Labels</t>
  </si>
  <si>
    <t>Grand Total</t>
  </si>
  <si>
    <t>Sum of Total_Revenue</t>
  </si>
  <si>
    <t>Column Labels</t>
  </si>
  <si>
    <t>Count of Order_ID</t>
  </si>
  <si>
    <t>PakCommerce Sales Dashboard</t>
  </si>
  <si>
    <t>Total Revenue</t>
  </si>
  <si>
    <t>Total Orders</t>
  </si>
  <si>
    <t>Avg Order Value</t>
  </si>
  <si>
    <t>Top City</t>
  </si>
  <si>
    <t xml:space="preserve">Lahore </t>
  </si>
  <si>
    <t xml:space="preserve">Karachi </t>
  </si>
  <si>
    <t xml:space="preserve">Islamabad </t>
  </si>
  <si>
    <t xml:space="preserve">Rawalpindi </t>
  </si>
  <si>
    <t xml:space="preserve">Faisalabad </t>
  </si>
  <si>
    <t>Jan-Mar 2026</t>
  </si>
  <si>
    <t>Delivery Rate</t>
  </si>
  <si>
    <t>Overview of E-Commerce Performance (Jan – Mar 2026)</t>
  </si>
  <si>
    <t>Date as of:</t>
  </si>
  <si>
    <t>31st March 2026</t>
  </si>
  <si>
    <t>Total Revenue (PKR)</t>
  </si>
  <si>
    <t>Average Order Value (PKR)</t>
  </si>
  <si>
    <t>Total Quantity Sold</t>
  </si>
  <si>
    <t>Quanity Sold</t>
  </si>
  <si>
    <t>Sum of Quantity</t>
  </si>
  <si>
    <t>FILTERS</t>
  </si>
  <si>
    <t>ABOUT THIS DASHBOARD</t>
  </si>
  <si>
    <t>This dashboard provides key insights into</t>
  </si>
  <si>
    <t>PakCommerce sales performance for the</t>
  </si>
  <si>
    <t>period Jan – Mar 2026. Data is summarized</t>
  </si>
  <si>
    <t>from Orders, Products and Customers datasets.</t>
  </si>
  <si>
    <t>NOTES</t>
  </si>
  <si>
    <t>- 300 orders analyzed</t>
  </si>
  <si>
    <t>- Revenue is in PKR</t>
  </si>
  <si>
    <t>- All values are rounded</t>
  </si>
  <si>
    <t>- Data source: Sample dataset</t>
  </si>
  <si>
    <t>TOOLS USED IN EXCEL</t>
  </si>
  <si>
    <t>- Pivot Tables for data summary</t>
  </si>
  <si>
    <t>- Pivot Charts for visualizations</t>
  </si>
  <si>
    <t>- Slicers for interactivity</t>
  </si>
  <si>
    <t>- VLOOKUP &amp; XLOOKUP for data connection</t>
  </si>
  <si>
    <t>- SUMIF, COUNTIF for calculations</t>
  </si>
  <si>
    <t>- INDEX MATCH for dynamic KPIs</t>
  </si>
  <si>
    <t>COLOR GUIDE</t>
  </si>
  <si>
    <t>Dark navy box → label "Primary"</t>
  </si>
  <si>
    <t>Blue box → label "Charts"</t>
  </si>
  <si>
    <t>Green box → label "Positive"</t>
  </si>
  <si>
    <t>Orange box → label "Alert"</t>
  </si>
  <si>
    <t>Red box → label "Negative"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</si>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</sst>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9"/>
      <color theme="6" tint="-0.249977111117893"/>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0"/>
      <name val="Calibri"/>
      <family val="2"/>
      <scheme val="minor"/>
    </font>
    <font>
      <b/>
      <sz val="18"/>
      <color theme="0"/>
      <name val="Calibri"/>
      <family val="2"/>
      <scheme val="minor"/>
    </font>
    <font>
      <b/>
      <sz val="9"/>
      <color theme="2" tint="-0.499984740745262"/>
      <name val="Calibri"/>
      <family val="2"/>
      <scheme val="minor"/>
    </font>
    <font>
      <b/>
      <sz val="22"/>
      <color theme="9"/>
      <name val="Calibri"/>
      <family val="2"/>
      <scheme val="minor"/>
    </font>
    <font>
      <b/>
      <sz val="22"/>
      <color theme="4"/>
      <name val="Calibri"/>
      <family val="2"/>
      <scheme val="minor"/>
    </font>
    <font>
      <b/>
      <sz val="22"/>
      <color theme="5"/>
      <name val="Calibri"/>
      <family val="2"/>
      <scheme val="minor"/>
    </font>
    <font>
      <b/>
      <sz val="22"/>
      <color rgb="FF996633"/>
      <name val="Calibri"/>
      <family val="2"/>
      <scheme val="minor"/>
    </font>
    <font>
      <b/>
      <sz val="22"/>
      <color rgb="FF7030A0"/>
      <name val="Calibri"/>
      <family val="2"/>
      <scheme val="minor"/>
    </font>
    <font>
      <b/>
      <sz val="22"/>
      <color theme="2" tint="-0.499984740745262"/>
      <name val="Calibri"/>
      <family val="2"/>
      <scheme val="minor"/>
    </font>
    <font>
      <b/>
      <sz val="10"/>
      <color theme="4" tint="-0.249977111117893"/>
      <name val="Calibri"/>
      <family val="2"/>
      <scheme val="minor"/>
    </font>
    <font>
      <b/>
      <sz val="9"/>
      <color theme="4" tint="-0.249977111117893"/>
      <name val="Calibri"/>
      <family val="2"/>
      <scheme val="minor"/>
    </font>
    <font>
      <b/>
      <sz val="11"/>
      <color theme="4" tint="-0.249977111117893"/>
      <name val="Calibri"/>
      <family val="2"/>
      <scheme val="minor"/>
    </font>
    <font>
      <sz val="8"/>
      <color theme="2" tint="-0.749992370372631"/>
      <name val="Calibri"/>
      <family val="2"/>
      <scheme val="minor"/>
    </font>
  </fonts>
  <fills count="12">
    <fill>
      <patternFill patternType="none"/>
    </fill>
    <fill>
      <patternFill patternType="gray125"/>
    </fill>
    <fill>
      <patternFill patternType="solid">
        <fgColor rgb="FF1B2A4A"/>
        <bgColor indexed="64"/>
      </patternFill>
    </fill>
    <fill>
      <patternFill patternType="solid">
        <fgColor theme="0"/>
        <bgColor indexed="64"/>
      </patternFill>
    </fill>
    <fill>
      <patternFill patternType="solid">
        <fgColor theme="9"/>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rgb="FF7030A0"/>
        <bgColor indexed="64"/>
      </patternFill>
    </fill>
    <fill>
      <patternFill patternType="solid">
        <fgColor theme="0" tint="-0.499984740745262"/>
        <bgColor indexed="64"/>
      </patternFill>
    </fill>
    <fill>
      <patternFill patternType="solid">
        <fgColor theme="7" tint="-0.499984740745262"/>
        <bgColor indexed="64"/>
      </patternFill>
    </fill>
    <fill>
      <patternFill patternType="solid">
        <fgColor rgb="FFF2F2F2"/>
        <bgColor indexed="64"/>
      </patternFill>
    </fill>
    <fill>
      <patternFill patternType="solid">
        <fgColor theme="6" tint="0.79998168889431442"/>
        <bgColor indexed="64"/>
      </patternFill>
    </fill>
  </fills>
  <borders count="9">
    <border>
      <left/>
      <right/>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s>
  <cellStyleXfs count="2">
    <xf numFmtId="0" fontId="0" fillId="0" borderId="0"/>
    <xf numFmtId="9" fontId="2" fillId="0" borderId="0" applyFont="0" applyFill="0" applyBorder="0" applyAlignment="0" applyProtection="0"/>
  </cellStyleXfs>
  <cellXfs count="67">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2" borderId="0" xfId="0" applyFill="1"/>
    <xf numFmtId="9" fontId="0" fillId="0" borderId="0" xfId="1" applyFont="1"/>
    <xf numFmtId="0" fontId="6" fillId="2" borderId="0" xfId="0" applyFont="1" applyFill="1"/>
    <xf numFmtId="0" fontId="7" fillId="2" borderId="0" xfId="0" applyFont="1" applyFill="1"/>
    <xf numFmtId="0" fontId="3"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4" borderId="6" xfId="0" applyFill="1" applyBorder="1"/>
    <xf numFmtId="0" fontId="0" fillId="4" borderId="8" xfId="0" applyFill="1" applyBorder="1"/>
    <xf numFmtId="0" fontId="0" fillId="5" borderId="6" xfId="0" applyFill="1" applyBorder="1"/>
    <xf numFmtId="0" fontId="0" fillId="5" borderId="8" xfId="0" applyFill="1" applyBorder="1"/>
    <xf numFmtId="0" fontId="0" fillId="6" borderId="8" xfId="0" applyFill="1" applyBorder="1"/>
    <xf numFmtId="0" fontId="0" fillId="7" borderId="6" xfId="0" applyFill="1" applyBorder="1"/>
    <xf numFmtId="0" fontId="0" fillId="7" borderId="8" xfId="0" applyFill="1" applyBorder="1"/>
    <xf numFmtId="0" fontId="0" fillId="8" borderId="6" xfId="0" applyFill="1" applyBorder="1"/>
    <xf numFmtId="0" fontId="0" fillId="8" borderId="8" xfId="0" applyFill="1" applyBorder="1"/>
    <xf numFmtId="0" fontId="3" fillId="4" borderId="7" xfId="0" applyFont="1" applyFill="1" applyBorder="1" applyAlignment="1">
      <alignment horizontal="center"/>
    </xf>
    <xf numFmtId="0" fontId="3" fillId="5" borderId="7" xfId="0" applyFont="1" applyFill="1" applyBorder="1" applyAlignment="1">
      <alignment horizontal="center"/>
    </xf>
    <xf numFmtId="0" fontId="5" fillId="6" borderId="6" xfId="0" applyFont="1" applyFill="1" applyBorder="1" applyAlignment="1">
      <alignment horizontal="center"/>
    </xf>
    <xf numFmtId="0" fontId="3" fillId="6" borderId="7" xfId="0" applyFont="1" applyFill="1" applyBorder="1" applyAlignment="1">
      <alignment horizontal="center"/>
    </xf>
    <xf numFmtId="0" fontId="3" fillId="8" borderId="7" xfId="0" applyFont="1" applyFill="1" applyBorder="1" applyAlignment="1">
      <alignment horizontal="center"/>
    </xf>
    <xf numFmtId="0" fontId="3" fillId="7" borderId="7" xfId="0" applyFont="1" applyFill="1" applyBorder="1" applyAlignment="1">
      <alignment horizontal="center"/>
    </xf>
    <xf numFmtId="0" fontId="0" fillId="9" borderId="6" xfId="0" applyFill="1" applyBorder="1"/>
    <xf numFmtId="0" fontId="3" fillId="9" borderId="7" xfId="0" applyFont="1" applyFill="1" applyBorder="1" applyAlignment="1">
      <alignment horizontal="center"/>
    </xf>
    <xf numFmtId="0" fontId="0" fillId="9" borderId="8" xfId="0" applyFill="1" applyBorder="1"/>
    <xf numFmtId="0" fontId="8" fillId="0" borderId="0" xfId="0" applyFont="1"/>
    <xf numFmtId="0" fontId="8" fillId="0" borderId="0" xfId="0" applyFont="1" applyAlignment="1">
      <alignment horizontal="center"/>
    </xf>
    <xf numFmtId="0" fontId="4" fillId="0" borderId="0" xfId="0" applyFont="1" applyAlignment="1">
      <alignment horizontal="center"/>
    </xf>
    <xf numFmtId="0" fontId="4" fillId="0" borderId="0" xfId="0" applyFont="1"/>
    <xf numFmtId="0" fontId="3" fillId="0" borderId="0" xfId="0" applyFont="1"/>
    <xf numFmtId="0" fontId="5" fillId="0" borderId="0" xfId="0" applyFont="1"/>
    <xf numFmtId="0" fontId="0" fillId="10" borderId="0" xfId="0" applyFill="1"/>
    <xf numFmtId="0" fontId="15" fillId="0" borderId="0" xfId="0" applyFont="1"/>
    <xf numFmtId="0" fontId="1" fillId="0" borderId="0" xfId="0" applyFont="1"/>
    <xf numFmtId="0" fontId="16" fillId="0" borderId="0" xfId="0" applyFont="1"/>
    <xf numFmtId="10" fontId="0" fillId="0" borderId="0" xfId="0" applyNumberFormat="1"/>
    <xf numFmtId="0" fontId="17" fillId="10" borderId="0" xfId="0" applyFont="1" applyFill="1"/>
    <xf numFmtId="0" fontId="16" fillId="10" borderId="0" xfId="0" applyFont="1" applyFill="1"/>
    <xf numFmtId="0" fontId="18" fillId="10" borderId="0" xfId="0" applyFont="1" applyFill="1"/>
    <xf numFmtId="0" fontId="18" fillId="11" borderId="0" xfId="0" applyFont="1" applyFill="1"/>
    <xf numFmtId="0" fontId="0" fillId="11" borderId="0" xfId="0" applyFill="1"/>
    <xf numFmtId="0" fontId="14" fillId="0" borderId="1" xfId="0" applyFont="1" applyBorder="1" applyAlignment="1">
      <alignment horizontal="center"/>
    </xf>
    <xf numFmtId="0" fontId="14" fillId="0" borderId="0" xfId="0" applyFont="1" applyAlignment="1">
      <alignment horizontal="center"/>
    </xf>
    <xf numFmtId="0" fontId="14" fillId="0" borderId="2" xfId="0" applyFont="1" applyBorder="1" applyAlignment="1">
      <alignment horizontal="center"/>
    </xf>
    <xf numFmtId="3" fontId="9" fillId="0" borderId="1" xfId="0" applyNumberFormat="1" applyFont="1" applyBorder="1" applyAlignment="1">
      <alignment horizontal="center"/>
    </xf>
    <xf numFmtId="3" fontId="9" fillId="0" borderId="0" xfId="0" applyNumberFormat="1" applyFont="1" applyAlignment="1">
      <alignment horizontal="center"/>
    </xf>
    <xf numFmtId="3" fontId="9" fillId="0" borderId="2" xfId="0" applyNumberFormat="1" applyFont="1" applyBorder="1" applyAlignment="1">
      <alignment horizontal="center"/>
    </xf>
    <xf numFmtId="0" fontId="10" fillId="3" borderId="1" xfId="0" applyFont="1" applyFill="1" applyBorder="1" applyAlignment="1">
      <alignment horizontal="center"/>
    </xf>
    <xf numFmtId="0" fontId="10" fillId="3" borderId="0" xfId="0" applyFont="1" applyFill="1" applyAlignment="1">
      <alignment horizontal="center"/>
    </xf>
    <xf numFmtId="0" fontId="10" fillId="3" borderId="2" xfId="0" applyFont="1" applyFill="1" applyBorder="1" applyAlignment="1">
      <alignment horizontal="center"/>
    </xf>
    <xf numFmtId="2" fontId="11" fillId="0" borderId="1" xfId="0" applyNumberFormat="1" applyFont="1" applyBorder="1" applyAlignment="1">
      <alignment horizontal="center"/>
    </xf>
    <xf numFmtId="2" fontId="11" fillId="0" borderId="0" xfId="0" applyNumberFormat="1" applyFont="1" applyAlignment="1">
      <alignment horizontal="center"/>
    </xf>
    <xf numFmtId="2" fontId="11" fillId="0" borderId="2" xfId="0" applyNumberFormat="1" applyFont="1" applyBorder="1" applyAlignment="1">
      <alignment horizontal="center"/>
    </xf>
    <xf numFmtId="0" fontId="12" fillId="0" borderId="1"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9" fontId="13" fillId="0" borderId="1" xfId="0" applyNumberFormat="1"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colors>
    <mruColors>
      <color rgb="FFE8EEF4"/>
      <color rgb="FFF2F2F2"/>
      <color rgb="FF2E75B6"/>
      <color rgb="FFEBF3FB"/>
      <color rgb="FFCD7F32"/>
      <color rgb="FFA9A9A9"/>
      <color rgb="FFFFD700"/>
      <color rgb="FF9DC3E6"/>
      <color rgb="FF1B2A4A"/>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[PakEcommerce analysis.xlsx]Pivot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1">
                    <a:lumMod val="75000"/>
                  </a:schemeClr>
                </a:solidFill>
              </a:rPr>
              <a:t>REVENUE CONTRIBUTION BY CITY | Jan – Mar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5B6"/>
          </a:solidFill>
          <a:ln>
            <a:noFill/>
          </a:ln>
          <a:effectLst/>
        </c:spPr>
      </c:pivotFmt>
    </c:pivotFmts>
    <c:plotArea>
      <c:layout/>
      <c:barChart>
        <c:barDir val="col"/>
        <c:grouping val="clustered"/>
        <c:varyColors val="0"/>
        <c:ser>
          <c:idx val="0"/>
          <c:order val="0"/>
          <c:tx>
            <c:strRef>
              <c:f>'Pivot Tables'!$B$84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6AD-4110-94E4-A321A8C4227D}"/>
              </c:ext>
            </c:extLst>
          </c:dPt>
          <c:dPt>
            <c:idx val="1"/>
            <c:invertIfNegative val="0"/>
            <c:bubble3D val="0"/>
            <c:spPr>
              <a:solidFill>
                <a:srgbClr val="2E75B6"/>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Tables'!$A$85:$A$90</c:f>
              <c:strCache>
                <c:ptCount val="5"/>
                <c:pt idx="0">
                  <c:v>Karachi</c:v>
                </c:pt>
                <c:pt idx="1">
                  <c:v>Lahore</c:v>
                </c:pt>
                <c:pt idx="2">
                  <c:v>Islamabad</c:v>
                </c:pt>
                <c:pt idx="3">
                  <c:v>Rawalpindi</c:v>
                </c:pt>
                <c:pt idx="4">
                  <c:v>Faisalabad</c:v>
                </c:pt>
              </c:strCache>
            </c:strRef>
          </c:cat>
          <c:val>
            <c:numRef>
              <c:f>'Pivot Tables'!$B$85:$B$90</c:f>
              <c:numCache>
                <c:formatCode>General</c:formatCode>
                <c:ptCount val="5"/>
                <c:pt idx="0">
                  <c:v>6395</c:v>
                </c:pt>
                <c:pt idx="1">
                  <c:v>6265</c:v>
                </c:pt>
                <c:pt idx="2">
                  <c:v>3465</c:v>
                </c:pt>
                <c:pt idx="3">
                  <c:v>3360</c:v>
                </c:pt>
                <c:pt idx="4">
                  <c:v>2035</c:v>
                </c:pt>
              </c:numCache>
            </c:numRef>
          </c:val>
          <c:extLst>
            <c:ext xmlns:c16="http://schemas.microsoft.com/office/drawing/2014/chart" uri="{C3380CC4-5D6E-409C-BE32-E72D297353CC}">
              <c16:uniqueId val="{00000000-26AD-4110-94E4-A321A8C4227D}"/>
            </c:ext>
          </c:extLst>
        </c:ser>
        <c:dLbls>
          <c:dLblPos val="outEnd"/>
          <c:showLegendKey val="0"/>
          <c:showVal val="1"/>
          <c:showCatName val="0"/>
          <c:showSerName val="0"/>
          <c:showPercent val="0"/>
          <c:showBubbleSize val="0"/>
        </c:dLbls>
        <c:gapWidth val="219"/>
        <c:overlap val="-27"/>
        <c:axId val="453101072"/>
        <c:axId val="666753631"/>
      </c:barChart>
      <c:catAx>
        <c:axId val="453101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753631"/>
        <c:crosses val="autoZero"/>
        <c:auto val="1"/>
        <c:lblAlgn val="ctr"/>
        <c:lblOffset val="100"/>
        <c:noMultiLvlLbl val="0"/>
      </c:catAx>
      <c:valAx>
        <c:axId val="666753631"/>
        <c:scaling>
          <c:orientation val="minMax"/>
        </c:scaling>
        <c:delete val="1"/>
        <c:axPos val="l"/>
        <c:numFmt formatCode="General" sourceLinked="1"/>
        <c:majorTickMark val="out"/>
        <c:minorTickMark val="none"/>
        <c:tickLblPos val="nextTo"/>
        <c:crossAx val="45310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[PakEcommerce analysis.xlsx]Pivot Tables!PivotTable8</c:name>
    <c:fmtId val="22"/>
  </c:pivotSource>
  <c:chart>
    <c:title>
      <c:tx>
        <c:rich>
          <a:bodyPr rot="0" spcFirstLastPara="1" vertOverflow="ellipsis" vert="horz" wrap="square" anchor="ctr" anchorCtr="1"/>
          <a:lstStyle/>
          <a:p>
            <a:pPr algn="ctr" rtl="0">
              <a:defRPr lang="en-US" sz="1000" b="1" i="0" u="none" strike="noStrike" kern="1200" spc="0" baseline="0">
                <a:solidFill>
                  <a:schemeClr val="accent1">
                    <a:lumMod val="75000"/>
                  </a:schemeClr>
                </a:solidFill>
                <a:latin typeface="+mn-lt"/>
                <a:ea typeface="+mn-ea"/>
                <a:cs typeface="+mn-cs"/>
              </a:defRPr>
            </a:pPr>
            <a:r>
              <a:rPr lang="en-US" sz="1000" b="1" i="0" u="none" strike="noStrike" kern="1200" spc="0" baseline="0">
                <a:solidFill>
                  <a:schemeClr val="accent1">
                    <a:lumMod val="75000"/>
                  </a:schemeClr>
                </a:solidFill>
                <a:latin typeface="+mn-lt"/>
                <a:ea typeface="+mn-ea"/>
                <a:cs typeface="+mn-cs"/>
              </a:rPr>
              <a:t>DELIVERY STATUS BY CITY | Jan – Mar 2026</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Tables'!$B$93:$B$94</c:f>
              <c:strCache>
                <c:ptCount val="1"/>
                <c:pt idx="0">
                  <c:v>Delivered</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Tables'!$A$95:$A$100</c:f>
              <c:strCache>
                <c:ptCount val="5"/>
                <c:pt idx="0">
                  <c:v>Faisalabad</c:v>
                </c:pt>
                <c:pt idx="1">
                  <c:v>Islamabad</c:v>
                </c:pt>
                <c:pt idx="2">
                  <c:v>Karachi</c:v>
                </c:pt>
                <c:pt idx="3">
                  <c:v>Lahore</c:v>
                </c:pt>
                <c:pt idx="4">
                  <c:v>Rawalpindi</c:v>
                </c:pt>
              </c:strCache>
            </c:strRef>
          </c:cat>
          <c:val>
            <c:numRef>
              <c:f>'Pivot Tables'!$B$95:$B$100</c:f>
              <c:numCache>
                <c:formatCode>0.00%</c:formatCode>
                <c:ptCount val="5"/>
                <c:pt idx="0">
                  <c:v>1</c:v>
                </c:pt>
                <c:pt idx="1">
                  <c:v>0.875</c:v>
                </c:pt>
                <c:pt idx="2">
                  <c:v>0.7857142857142857</c:v>
                </c:pt>
                <c:pt idx="3">
                  <c:v>0.92</c:v>
                </c:pt>
                <c:pt idx="4">
                  <c:v>0.76470588235294112</c:v>
                </c:pt>
              </c:numCache>
            </c:numRef>
          </c:val>
          <c:extLst>
            <c:ext xmlns:c16="http://schemas.microsoft.com/office/drawing/2014/chart" uri="{C3380CC4-5D6E-409C-BE32-E72D297353CC}">
              <c16:uniqueId val="{0000002D-4DAA-4B00-9416-9F8295A5E070}"/>
            </c:ext>
          </c:extLst>
        </c:ser>
        <c:ser>
          <c:idx val="1"/>
          <c:order val="1"/>
          <c:tx>
            <c:strRef>
              <c:f>'Pivot Tables'!$C$93:$C$94</c:f>
              <c:strCache>
                <c:ptCount val="1"/>
                <c:pt idx="0">
                  <c:v>Pending</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Tables'!$A$95:$A$100</c:f>
              <c:strCache>
                <c:ptCount val="5"/>
                <c:pt idx="0">
                  <c:v>Faisalabad</c:v>
                </c:pt>
                <c:pt idx="1">
                  <c:v>Islamabad</c:v>
                </c:pt>
                <c:pt idx="2">
                  <c:v>Karachi</c:v>
                </c:pt>
                <c:pt idx="3">
                  <c:v>Lahore</c:v>
                </c:pt>
                <c:pt idx="4">
                  <c:v>Rawalpindi</c:v>
                </c:pt>
              </c:strCache>
            </c:strRef>
          </c:cat>
          <c:val>
            <c:numRef>
              <c:f>'Pivot Tables'!$C$95:$C$100</c:f>
              <c:numCache>
                <c:formatCode>0.00%</c:formatCode>
                <c:ptCount val="5"/>
                <c:pt idx="0">
                  <c:v>0</c:v>
                </c:pt>
                <c:pt idx="1">
                  <c:v>0</c:v>
                </c:pt>
                <c:pt idx="2">
                  <c:v>3.5714285714285712E-2</c:v>
                </c:pt>
                <c:pt idx="3">
                  <c:v>0.04</c:v>
                </c:pt>
                <c:pt idx="4">
                  <c:v>5.8823529411764705E-2</c:v>
                </c:pt>
              </c:numCache>
            </c:numRef>
          </c:val>
          <c:extLst>
            <c:ext xmlns:c16="http://schemas.microsoft.com/office/drawing/2014/chart" uri="{C3380CC4-5D6E-409C-BE32-E72D297353CC}">
              <c16:uniqueId val="{0000002E-4DAA-4B00-9416-9F8295A5E070}"/>
            </c:ext>
          </c:extLst>
        </c:ser>
        <c:ser>
          <c:idx val="2"/>
          <c:order val="2"/>
          <c:tx>
            <c:strRef>
              <c:f>'Pivot Tables'!$D$93:$D$94</c:f>
              <c:strCache>
                <c:ptCount val="1"/>
                <c:pt idx="0">
                  <c:v>Returned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Tables'!$A$95:$A$100</c:f>
              <c:strCache>
                <c:ptCount val="5"/>
                <c:pt idx="0">
                  <c:v>Faisalabad</c:v>
                </c:pt>
                <c:pt idx="1">
                  <c:v>Islamabad</c:v>
                </c:pt>
                <c:pt idx="2">
                  <c:v>Karachi</c:v>
                </c:pt>
                <c:pt idx="3">
                  <c:v>Lahore</c:v>
                </c:pt>
                <c:pt idx="4">
                  <c:v>Rawalpindi</c:v>
                </c:pt>
              </c:strCache>
            </c:strRef>
          </c:cat>
          <c:val>
            <c:numRef>
              <c:f>'Pivot Tables'!$D$95:$D$100</c:f>
              <c:numCache>
                <c:formatCode>0.00%</c:formatCode>
                <c:ptCount val="5"/>
                <c:pt idx="0">
                  <c:v>0</c:v>
                </c:pt>
                <c:pt idx="1">
                  <c:v>0.125</c:v>
                </c:pt>
                <c:pt idx="2">
                  <c:v>0.17857142857142858</c:v>
                </c:pt>
                <c:pt idx="3">
                  <c:v>0.04</c:v>
                </c:pt>
                <c:pt idx="4">
                  <c:v>0.17647058823529413</c:v>
                </c:pt>
              </c:numCache>
            </c:numRef>
          </c:val>
          <c:extLst>
            <c:ext xmlns:c16="http://schemas.microsoft.com/office/drawing/2014/chart" uri="{C3380CC4-5D6E-409C-BE32-E72D297353CC}">
              <c16:uniqueId val="{00000001-5338-4EA3-B09E-B2A923F9554A}"/>
            </c:ext>
          </c:extLst>
        </c:ser>
        <c:dLbls>
          <c:dLblPos val="ctr"/>
          <c:showLegendKey val="0"/>
          <c:showVal val="1"/>
          <c:showCatName val="0"/>
          <c:showSerName val="0"/>
          <c:showPercent val="0"/>
          <c:showBubbleSize val="0"/>
        </c:dLbls>
        <c:gapWidth val="150"/>
        <c:overlap val="100"/>
        <c:axId val="666763711"/>
        <c:axId val="666781951"/>
      </c:barChart>
      <c:catAx>
        <c:axId val="66676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781951"/>
        <c:crosses val="autoZero"/>
        <c:auto val="1"/>
        <c:lblAlgn val="ctr"/>
        <c:lblOffset val="100"/>
        <c:noMultiLvlLbl val="0"/>
      </c:catAx>
      <c:valAx>
        <c:axId val="666781951"/>
        <c:scaling>
          <c:orientation val="minMax"/>
          <c:min val="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63711"/>
        <c:crosses val="autoZero"/>
        <c:crossBetween val="between"/>
      </c:valAx>
      <c:spPr>
        <a:noFill/>
        <a:ln>
          <a:noFill/>
        </a:ln>
        <a:effectLst/>
      </c:spPr>
    </c:plotArea>
    <c:legend>
      <c:legendPos val="t"/>
      <c:layout>
        <c:manualLayout>
          <c:xMode val="edge"/>
          <c:yMode val="edge"/>
          <c:x val="0.1853777012316879"/>
          <c:y val="0.12594925634295712"/>
          <c:w val="0.3859663678574955"/>
          <c:h val="7.62984666540875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[PakEcommerce analysis.xlsx]Pivot Tables!PivotTable9</c:name>
    <c:fmtId val="5"/>
  </c:pivotSource>
  <c:chart>
    <c:title>
      <c:tx>
        <c:rich>
          <a:bodyPr rot="0" spcFirstLastPara="1" vertOverflow="ellipsis" vert="horz" wrap="square" anchor="ctr" anchorCtr="1"/>
          <a:lstStyle/>
          <a:p>
            <a:pPr algn="ctr" rtl="0">
              <a:defRPr lang="en-US" sz="1000" b="1" i="0" u="none" strike="noStrike" kern="1200" spc="0" baseline="0">
                <a:solidFill>
                  <a:schemeClr val="accent1">
                    <a:lumMod val="75000"/>
                  </a:schemeClr>
                </a:solidFill>
                <a:latin typeface="+mn-lt"/>
                <a:ea typeface="+mn-ea"/>
                <a:cs typeface="+mn-cs"/>
              </a:defRPr>
            </a:pPr>
            <a:r>
              <a:rPr lang="en-US" sz="1000" b="1" i="0" u="none" strike="noStrike" kern="1200" spc="0" baseline="0">
                <a:solidFill>
                  <a:schemeClr val="accent1">
                    <a:lumMod val="75000"/>
                  </a:schemeClr>
                </a:solidFill>
                <a:latin typeface="+mn-lt"/>
                <a:ea typeface="+mn-ea"/>
                <a:cs typeface="+mn-cs"/>
              </a:rPr>
              <a:t>Revenue Share by Category | Jan-Mar 2026</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B2A4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9DC3E6"/>
          </a:solidFill>
          <a:ln w="19050">
            <a:solidFill>
              <a:schemeClr val="lt1"/>
            </a:solidFill>
          </a:ln>
          <a:effectLst/>
        </c:spPr>
      </c:pivotFmt>
      <c:pivotFmt>
        <c:idx val="3"/>
        <c:spPr>
          <a:solidFill>
            <a:srgbClr val="2E75B6"/>
          </a:solidFill>
          <a:ln w="19050">
            <a:solidFill>
              <a:schemeClr val="lt1"/>
            </a:solidFill>
          </a:ln>
          <a:effectLst/>
        </c:spPr>
      </c:pivotFmt>
      <c:pivotFmt>
        <c:idx val="4"/>
        <c:spPr>
          <a:solidFill>
            <a:srgbClr val="1B2A4A"/>
          </a:solidFill>
          <a:ln w="19050">
            <a:solidFill>
              <a:schemeClr val="lt1"/>
            </a:solidFill>
          </a:ln>
          <a:effectLst/>
        </c:spPr>
      </c:pivotFmt>
    </c:pivotFmts>
    <c:plotArea>
      <c:layout/>
      <c:pieChart>
        <c:varyColors val="1"/>
        <c:ser>
          <c:idx val="0"/>
          <c:order val="0"/>
          <c:tx>
            <c:strRef>
              <c:f>'Pivot Tables'!$H$86</c:f>
              <c:strCache>
                <c:ptCount val="1"/>
                <c:pt idx="0">
                  <c:v>Total</c:v>
                </c:pt>
              </c:strCache>
            </c:strRef>
          </c:tx>
          <c:spPr>
            <a:solidFill>
              <a:srgbClr val="1B2A4A"/>
            </a:solidFill>
          </c:spPr>
          <c:dPt>
            <c:idx val="0"/>
            <c:bubble3D val="0"/>
            <c:spPr>
              <a:solidFill>
                <a:srgbClr val="1B2A4A"/>
              </a:solidFill>
              <a:ln w="19050">
                <a:solidFill>
                  <a:schemeClr val="lt1"/>
                </a:solidFill>
              </a:ln>
              <a:effectLst/>
            </c:spPr>
            <c:extLst>
              <c:ext xmlns:c16="http://schemas.microsoft.com/office/drawing/2014/chart" uri="{C3380CC4-5D6E-409C-BE32-E72D297353CC}">
                <c16:uniqueId val="{00000001-C984-41C5-A31E-AEA98F90B6F1}"/>
              </c:ext>
            </c:extLst>
          </c:dPt>
          <c:dPt>
            <c:idx val="1"/>
            <c:bubble3D val="0"/>
            <c:spPr>
              <a:solidFill>
                <a:srgbClr val="1B2A4A"/>
              </a:solidFill>
              <a:ln w="19050">
                <a:solidFill>
                  <a:schemeClr val="lt1"/>
                </a:solidFill>
              </a:ln>
              <a:effectLst/>
            </c:spPr>
            <c:extLst>
              <c:ext xmlns:c16="http://schemas.microsoft.com/office/drawing/2014/chart" uri="{C3380CC4-5D6E-409C-BE32-E72D297353CC}">
                <c16:uniqueId val="{00000003-C984-41C5-A31E-AEA98F90B6F1}"/>
              </c:ext>
            </c:extLst>
          </c:dPt>
          <c:dPt>
            <c:idx val="2"/>
            <c:bubble3D val="0"/>
            <c:spPr>
              <a:solidFill>
                <a:srgbClr val="1B2A4A"/>
              </a:solidFill>
              <a:ln w="19050">
                <a:solidFill>
                  <a:schemeClr val="lt1"/>
                </a:solidFill>
              </a:ln>
              <a:effectLst/>
            </c:spPr>
            <c:extLst>
              <c:ext xmlns:c16="http://schemas.microsoft.com/office/drawing/2014/chart" uri="{C3380CC4-5D6E-409C-BE32-E72D297353CC}">
                <c16:uniqueId val="{00000005-C984-41C5-A31E-AEA98F90B6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'Pivot Tables'!$G$87:$G$88</c:f>
              <c:strCache>
                <c:ptCount val="1"/>
                <c:pt idx="0">
                  <c:v>Home &amp; Kitchen</c:v>
                </c:pt>
              </c:strCache>
            </c:strRef>
          </c:cat>
          <c:val>
            <c:numRef>
              <c:f>'Pivot Tables'!$H$87:$H$88</c:f>
              <c:numCache>
                <c:formatCode>0.00%</c:formatCode>
                <c:ptCount val="1"/>
                <c:pt idx="0">
                  <c:v>1</c:v>
                </c:pt>
              </c:numCache>
            </c:numRef>
          </c:val>
          <c:extLst>
            <c:ext xmlns:c16="http://schemas.microsoft.com/office/drawing/2014/chart" uri="{C3380CC4-5D6E-409C-BE32-E72D297353CC}">
              <c16:uniqueId val="{00000006-C984-41C5-A31E-AEA98F90B6F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[PakEcommerce analysis.xlsx]Pivot Tables!PivotTable10</c:name>
    <c:fmtId val="20"/>
  </c:pivotSource>
  <c:chart>
    <c:title>
      <c:tx>
        <c:rich>
          <a:bodyPr rot="0" spcFirstLastPara="1" vertOverflow="ellipsis" vert="horz" wrap="square" anchor="ctr" anchorCtr="1"/>
          <a:lstStyle/>
          <a:p>
            <a:pPr algn="ctr" rtl="0">
              <a:defRPr lang="en-US" sz="1000" b="1" i="0" u="none" strike="noStrike" kern="1200" spc="0" baseline="0">
                <a:solidFill>
                  <a:schemeClr val="accent1">
                    <a:lumMod val="75000"/>
                  </a:schemeClr>
                </a:solidFill>
                <a:latin typeface="+mn-lt"/>
                <a:ea typeface="+mn-ea"/>
                <a:cs typeface="+mn-cs"/>
              </a:defRPr>
            </a:pPr>
            <a:r>
              <a:rPr lang="en-US" sz="1000" b="1" i="0" u="none" strike="noStrike" kern="1200" spc="0" baseline="0">
                <a:solidFill>
                  <a:schemeClr val="accent1">
                    <a:lumMod val="75000"/>
                  </a:schemeClr>
                </a:solidFill>
                <a:latin typeface="+mn-lt"/>
                <a:ea typeface="+mn-ea"/>
                <a:cs typeface="+mn-cs"/>
              </a:rPr>
              <a:t>TOP 5 PRODUCTS BY REVENUE | Jan – Mar 2026</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Tables'!$G$95:$G$100</c:f>
              <c:strCache>
                <c:ptCount val="5"/>
                <c:pt idx="0">
                  <c:v>Air Fryer</c:v>
                </c:pt>
                <c:pt idx="1">
                  <c:v>Blender</c:v>
                </c:pt>
                <c:pt idx="2">
                  <c:v>Coffee Maker</c:v>
                </c:pt>
                <c:pt idx="3">
                  <c:v>Rice Cooker</c:v>
                </c:pt>
                <c:pt idx="4">
                  <c:v>Kettle</c:v>
                </c:pt>
              </c:strCache>
            </c:strRef>
          </c:cat>
          <c:val>
            <c:numRef>
              <c:f>'Pivot Tables'!$H$95:$H$100</c:f>
              <c:numCache>
                <c:formatCode>General</c:formatCode>
                <c:ptCount val="5"/>
                <c:pt idx="0">
                  <c:v>6300</c:v>
                </c:pt>
                <c:pt idx="1">
                  <c:v>5400</c:v>
                </c:pt>
                <c:pt idx="2">
                  <c:v>4840</c:v>
                </c:pt>
                <c:pt idx="3">
                  <c:v>4655</c:v>
                </c:pt>
                <c:pt idx="4">
                  <c:v>325</c:v>
                </c:pt>
              </c:numCache>
            </c:numRef>
          </c:val>
          <c:extLst>
            <c:ext xmlns:c16="http://schemas.microsoft.com/office/drawing/2014/chart" uri="{C3380CC4-5D6E-409C-BE32-E72D297353CC}">
              <c16:uniqueId val="{00000000-F79F-4817-BB3C-C3BED8DC2A00}"/>
            </c:ext>
          </c:extLst>
        </c:ser>
        <c:dLbls>
          <c:showLegendKey val="0"/>
          <c:showVal val="0"/>
          <c:showCatName val="0"/>
          <c:showSerName val="0"/>
          <c:showPercent val="0"/>
          <c:showBubbleSize val="0"/>
        </c:dLbls>
        <c:gapWidth val="182"/>
        <c:axId val="666774751"/>
        <c:axId val="666766591"/>
      </c:barChart>
      <c:catAx>
        <c:axId val="66677475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6766591"/>
        <c:crosses val="autoZero"/>
        <c:auto val="1"/>
        <c:lblAlgn val="ctr"/>
        <c:lblOffset val="100"/>
        <c:noMultiLvlLbl val="0"/>
      </c:catAx>
      <c:valAx>
        <c:axId val="666766591"/>
        <c:scaling>
          <c:orientation val="minMax"/>
        </c:scaling>
        <c:delete val="1"/>
        <c:axPos val="t"/>
        <c:numFmt formatCode="General" sourceLinked="1"/>
        <c:majorTickMark val="out"/>
        <c:minorTickMark val="none"/>
        <c:tickLblPos val="nextTo"/>
        <c:crossAx val="66677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[PakEcommerce analysis.xlsx]Pivot Tables!PivotTable11</c:name>
    <c:fmtId val="5"/>
  </c:pivotSource>
  <c:chart>
    <c:title>
      <c:tx>
        <c:rich>
          <a:bodyPr rot="0" spcFirstLastPara="1" vertOverflow="ellipsis" vert="horz" wrap="square" anchor="ctr" anchorCtr="1"/>
          <a:lstStyle/>
          <a:p>
            <a:pPr algn="ctr" rtl="0">
              <a:defRPr lang="en-US" sz="1000" b="1" i="0" u="none" strike="noStrike" kern="1200" spc="0" baseline="0">
                <a:solidFill>
                  <a:schemeClr val="accent1">
                    <a:lumMod val="75000"/>
                  </a:schemeClr>
                </a:solidFill>
                <a:latin typeface="+mn-lt"/>
                <a:ea typeface="+mn-ea"/>
                <a:cs typeface="+mn-cs"/>
              </a:defRPr>
            </a:pPr>
            <a:r>
              <a:rPr lang="en-US" sz="1000" b="1" i="0" u="none" strike="noStrike" kern="1200" spc="0" baseline="0">
                <a:solidFill>
                  <a:schemeClr val="accent1">
                    <a:lumMod val="75000"/>
                  </a:schemeClr>
                </a:solidFill>
                <a:latin typeface="+mn-lt"/>
                <a:ea typeface="+mn-ea"/>
                <a:cs typeface="+mn-cs"/>
              </a:rPr>
              <a:t>REVENUE BY MEMBERSHIP TIER | Jan – Mar 2026</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D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9A9A9"/>
          </a:solidFill>
          <a:ln>
            <a:noFill/>
          </a:ln>
          <a:effectLst/>
        </c:spPr>
      </c:pivotFmt>
      <c:pivotFmt>
        <c:idx val="3"/>
        <c:spPr>
          <a:solidFill>
            <a:srgbClr val="CD7F32"/>
          </a:solidFill>
          <a:ln>
            <a:noFill/>
          </a:ln>
          <a:effectLst/>
        </c:spPr>
      </c:pivotFmt>
    </c:pivotFmts>
    <c:plotArea>
      <c:layout/>
      <c:barChart>
        <c:barDir val="bar"/>
        <c:grouping val="clustered"/>
        <c:varyColors val="0"/>
        <c:ser>
          <c:idx val="0"/>
          <c:order val="0"/>
          <c:tx>
            <c:strRef>
              <c:f>'Pivot Tables'!$B$103</c:f>
              <c:strCache>
                <c:ptCount val="1"/>
                <c:pt idx="0">
                  <c:v>Total</c:v>
                </c:pt>
              </c:strCache>
            </c:strRef>
          </c:tx>
          <c:spPr>
            <a:solidFill>
              <a:srgbClr val="FFD700"/>
            </a:solidFill>
            <a:ln>
              <a:noFill/>
            </a:ln>
            <a:effectLst/>
          </c:spPr>
          <c:invertIfNegative val="0"/>
          <c:dPt>
            <c:idx val="1"/>
            <c:invertIfNegative val="0"/>
            <c:bubble3D val="0"/>
            <c:spPr>
              <a:solidFill>
                <a:srgbClr val="CD7F32"/>
              </a:solidFill>
              <a:ln>
                <a:noFill/>
              </a:ln>
              <a:effectLst/>
            </c:spPr>
            <c:extLst>
              <c:ext xmlns:c16="http://schemas.microsoft.com/office/drawing/2014/chart" uri="{C3380CC4-5D6E-409C-BE32-E72D297353CC}">
                <c16:uniqueId val="{00000002-E5BE-49FB-96FC-E3954A1158DA}"/>
              </c:ext>
            </c:extLst>
          </c:dPt>
          <c:dPt>
            <c:idx val="2"/>
            <c:invertIfNegative val="0"/>
            <c:bubble3D val="0"/>
            <c:spPr>
              <a:solidFill>
                <a:srgbClr val="A9A9A9"/>
              </a:solidFill>
              <a:ln>
                <a:noFill/>
              </a:ln>
              <a:effectLst/>
            </c:spPr>
            <c:extLst>
              <c:ext xmlns:c16="http://schemas.microsoft.com/office/drawing/2014/chart" uri="{C3380CC4-5D6E-409C-BE32-E72D297353CC}">
                <c16:uniqueId val="{00000001-E5BE-49FB-96FC-E3954A115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Gold</c:v>
                </c:pt>
                <c:pt idx="1">
                  <c:v>Bronze</c:v>
                </c:pt>
                <c:pt idx="2">
                  <c:v>Silver</c:v>
                </c:pt>
              </c:strCache>
            </c:strRef>
          </c:cat>
          <c:val>
            <c:numRef>
              <c:f>'Pivot Tables'!$B$104:$B$107</c:f>
              <c:numCache>
                <c:formatCode>0.00%</c:formatCode>
                <c:ptCount val="3"/>
                <c:pt idx="0">
                  <c:v>0.38801115241635686</c:v>
                </c:pt>
                <c:pt idx="1">
                  <c:v>0.33341078066914498</c:v>
                </c:pt>
                <c:pt idx="2">
                  <c:v>0.27857806691449816</c:v>
                </c:pt>
              </c:numCache>
            </c:numRef>
          </c:val>
          <c:extLst>
            <c:ext xmlns:c16="http://schemas.microsoft.com/office/drawing/2014/chart" uri="{C3380CC4-5D6E-409C-BE32-E72D297353CC}">
              <c16:uniqueId val="{00000000-E5BE-49FB-96FC-E3954A1158DA}"/>
            </c:ext>
          </c:extLst>
        </c:ser>
        <c:dLbls>
          <c:dLblPos val="outEnd"/>
          <c:showLegendKey val="0"/>
          <c:showVal val="1"/>
          <c:showCatName val="0"/>
          <c:showSerName val="0"/>
          <c:showPercent val="0"/>
          <c:showBubbleSize val="0"/>
        </c:dLbls>
        <c:gapWidth val="182"/>
        <c:axId val="453113072"/>
        <c:axId val="453113552"/>
      </c:barChart>
      <c:catAx>
        <c:axId val="4531130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3113552"/>
        <c:crosses val="autoZero"/>
        <c:auto val="1"/>
        <c:lblAlgn val="ctr"/>
        <c:lblOffset val="100"/>
        <c:noMultiLvlLbl val="0"/>
      </c:catAx>
      <c:valAx>
        <c:axId val="453113552"/>
        <c:scaling>
          <c:orientation val="minMax"/>
        </c:scaling>
        <c:delete val="1"/>
        <c:axPos val="t"/>
        <c:numFmt formatCode="0.00%" sourceLinked="1"/>
        <c:majorTickMark val="none"/>
        <c:minorTickMark val="none"/>
        <c:tickLblPos val="nextTo"/>
        <c:crossAx val="45311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oneCellAnchor>
    <xdr:from>
      <xdr:col>10</xdr:col>
      <xdr:colOff>133350</xdr:colOff>
      <xdr:row>54</xdr:row>
      <xdr:rowOff>38100</xdr:rowOff>
    </xdr:from>
    <xdr:ext cx="1743076" cy="981075"/>
    <xdr:sp macro="" textlink="">
      <xdr:nvSpPr>
        <xdr:cNvPr id="8" name="TextBox 7">
          <a:extLst>
            <a:ext uri="{FF2B5EF4-FFF2-40B4-BE49-F238E27FC236}">
              <a16:creationId xmlns:a16="http://schemas.microsoft.com/office/drawing/2014/main" id="{29E05102-5065-B8BD-9ADC-5B9EB08BD0D0}"/>
            </a:ext>
          </a:extLst>
        </xdr:cNvPr>
        <xdr:cNvSpPr txBox="1"/>
      </xdr:nvSpPr>
      <xdr:spPr>
        <a:xfrm>
          <a:off x="8629650" y="10325100"/>
          <a:ext cx="1743076" cy="981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Air Fryer  25.01%</a:t>
          </a:r>
        </a:p>
        <a:p>
          <a:r>
            <a:rPr lang="en-US">
              <a:effectLst/>
            </a:rPr>
            <a:t> </a:t>
          </a:r>
          <a:r>
            <a:rPr lang="en-US" sz="1100" b="0" i="0" u="none" strike="noStrike">
              <a:solidFill>
                <a:schemeClr val="tx1"/>
              </a:solidFill>
              <a:effectLst/>
              <a:latin typeface="+mn-lt"/>
              <a:ea typeface="+mn-ea"/>
              <a:cs typeface="+mn-cs"/>
            </a:rPr>
            <a:t>Blender</a:t>
          </a:r>
          <a:r>
            <a:rPr lang="en-US">
              <a:effectLst/>
            </a:rPr>
            <a:t>   21.44%</a:t>
          </a:r>
        </a:p>
        <a:p>
          <a:r>
            <a:rPr lang="en-US" sz="1100" b="0" i="0" u="none" strike="noStrike">
              <a:solidFill>
                <a:schemeClr val="tx1"/>
              </a:solidFill>
              <a:effectLst/>
              <a:latin typeface="+mn-lt"/>
              <a:ea typeface="+mn-ea"/>
              <a:cs typeface="+mn-cs"/>
            </a:rPr>
            <a:t>Coffee Maker</a:t>
          </a:r>
          <a:r>
            <a:rPr lang="en-US">
              <a:effectLst/>
            </a:rPr>
            <a:t> 19.22%</a:t>
          </a:r>
        </a:p>
        <a:p>
          <a:r>
            <a:rPr lang="en-US" sz="1100" b="0" i="0" u="none" strike="noStrike">
              <a:solidFill>
                <a:schemeClr val="tx1"/>
              </a:solidFill>
              <a:effectLst/>
              <a:latin typeface="+mn-lt"/>
              <a:ea typeface="+mn-ea"/>
              <a:cs typeface="+mn-cs"/>
            </a:rPr>
            <a:t>Rice Cooker18.48%</a:t>
          </a:r>
          <a:r>
            <a:rPr lang="en-US">
              <a:effectLst/>
            </a:rPr>
            <a:t> </a:t>
          </a:r>
          <a:r>
            <a:rPr lang="en-US" sz="1100" b="0" i="0" u="none" strike="noStrike">
              <a:solidFill>
                <a:schemeClr val="tx1"/>
              </a:solidFill>
              <a:effectLst/>
              <a:latin typeface="+mn-lt"/>
              <a:ea typeface="+mn-ea"/>
              <a:cs typeface="+mn-cs"/>
            </a:rPr>
            <a:t>Bluetooth Speaker</a:t>
          </a:r>
          <a:r>
            <a:rPr lang="en-US">
              <a:effectLst/>
            </a:rPr>
            <a:t>  15.84%</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110133</xdr:rowOff>
    </xdr:from>
    <xdr:to>
      <xdr:col>2</xdr:col>
      <xdr:colOff>209550</xdr:colOff>
      <xdr:row>3</xdr:row>
      <xdr:rowOff>129480</xdr:rowOff>
    </xdr:to>
    <xdr:pic>
      <xdr:nvPicPr>
        <xdr:cNvPr id="3" name="Graphic 2" descr="Shopping cart with solid fill">
          <a:extLst>
            <a:ext uri="{FF2B5EF4-FFF2-40B4-BE49-F238E27FC236}">
              <a16:creationId xmlns:a16="http://schemas.microsoft.com/office/drawing/2014/main" id="{26E75FE5-B693-DA9B-9F33-3903A9263D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4850" y="110133"/>
          <a:ext cx="723900" cy="695622"/>
        </a:xfrm>
        <a:prstGeom prst="rect">
          <a:avLst/>
        </a:prstGeom>
      </xdr:spPr>
    </xdr:pic>
    <xdr:clientData/>
  </xdr:twoCellAnchor>
  <xdr:twoCellAnchor editAs="oneCell">
    <xdr:from>
      <xdr:col>1</xdr:col>
      <xdr:colOff>71438</xdr:colOff>
      <xdr:row>6</xdr:row>
      <xdr:rowOff>47625</xdr:rowOff>
    </xdr:from>
    <xdr:to>
      <xdr:col>1</xdr:col>
      <xdr:colOff>595313</xdr:colOff>
      <xdr:row>7</xdr:row>
      <xdr:rowOff>11907</xdr:rowOff>
    </xdr:to>
    <xdr:pic>
      <xdr:nvPicPr>
        <xdr:cNvPr id="5" name="Graphic 4" descr="Dollar with solid fill">
          <a:extLst>
            <a:ext uri="{FF2B5EF4-FFF2-40B4-BE49-F238E27FC236}">
              <a16:creationId xmlns:a16="http://schemas.microsoft.com/office/drawing/2014/main" id="{1D31BF2B-56E6-2CD8-4D48-83BD8480BE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8657" y="1309688"/>
          <a:ext cx="523875" cy="321469"/>
        </a:xfrm>
        <a:prstGeom prst="rect">
          <a:avLst/>
        </a:prstGeom>
      </xdr:spPr>
    </xdr:pic>
    <xdr:clientData/>
  </xdr:twoCellAnchor>
  <xdr:twoCellAnchor editAs="oneCell">
    <xdr:from>
      <xdr:col>5</xdr:col>
      <xdr:colOff>59531</xdr:colOff>
      <xdr:row>6</xdr:row>
      <xdr:rowOff>35721</xdr:rowOff>
    </xdr:from>
    <xdr:to>
      <xdr:col>5</xdr:col>
      <xdr:colOff>564694</xdr:colOff>
      <xdr:row>7</xdr:row>
      <xdr:rowOff>0</xdr:rowOff>
    </xdr:to>
    <xdr:pic>
      <xdr:nvPicPr>
        <xdr:cNvPr id="7" name="Graphic 6" descr="Shopping cart with solid fill">
          <a:extLst>
            <a:ext uri="{FF2B5EF4-FFF2-40B4-BE49-F238E27FC236}">
              <a16:creationId xmlns:a16="http://schemas.microsoft.com/office/drawing/2014/main" id="{CB00E78D-48F5-25F5-A8EF-FCF5CE5F7E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8031" y="1297784"/>
          <a:ext cx="505163" cy="321466"/>
        </a:xfrm>
        <a:prstGeom prst="rect">
          <a:avLst/>
        </a:prstGeom>
      </xdr:spPr>
    </xdr:pic>
    <xdr:clientData/>
  </xdr:twoCellAnchor>
  <xdr:twoCellAnchor editAs="oneCell">
    <xdr:from>
      <xdr:col>17</xdr:col>
      <xdr:colOff>35719</xdr:colOff>
      <xdr:row>5</xdr:row>
      <xdr:rowOff>130968</xdr:rowOff>
    </xdr:from>
    <xdr:to>
      <xdr:col>17</xdr:col>
      <xdr:colOff>511969</xdr:colOff>
      <xdr:row>7</xdr:row>
      <xdr:rowOff>107155</xdr:rowOff>
    </xdr:to>
    <xdr:pic>
      <xdr:nvPicPr>
        <xdr:cNvPr id="13" name="Graphic 12" descr="Truck with solid fill">
          <a:extLst>
            <a:ext uri="{FF2B5EF4-FFF2-40B4-BE49-F238E27FC236}">
              <a16:creationId xmlns:a16="http://schemas.microsoft.com/office/drawing/2014/main" id="{D020FB70-E4CD-821B-AA39-838484CA9C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82250" y="1202531"/>
          <a:ext cx="476250" cy="523874"/>
        </a:xfrm>
        <a:prstGeom prst="rect">
          <a:avLst/>
        </a:prstGeom>
      </xdr:spPr>
    </xdr:pic>
    <xdr:clientData/>
  </xdr:twoCellAnchor>
  <xdr:twoCellAnchor editAs="oneCell">
    <xdr:from>
      <xdr:col>20</xdr:col>
      <xdr:colOff>500062</xdr:colOff>
      <xdr:row>5</xdr:row>
      <xdr:rowOff>154781</xdr:rowOff>
    </xdr:from>
    <xdr:to>
      <xdr:col>21</xdr:col>
      <xdr:colOff>511970</xdr:colOff>
      <xdr:row>7</xdr:row>
      <xdr:rowOff>47625</xdr:rowOff>
    </xdr:to>
    <xdr:pic>
      <xdr:nvPicPr>
        <xdr:cNvPr id="15" name="Graphic 14" descr="Marker with solid fill">
          <a:extLst>
            <a:ext uri="{FF2B5EF4-FFF2-40B4-BE49-F238E27FC236}">
              <a16:creationId xmlns:a16="http://schemas.microsoft.com/office/drawing/2014/main" id="{4798F1F0-568C-5CAD-6BFE-3F3B5E4B56A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525375" y="1226344"/>
          <a:ext cx="619125" cy="440531"/>
        </a:xfrm>
        <a:prstGeom prst="rect">
          <a:avLst/>
        </a:prstGeom>
      </xdr:spPr>
    </xdr:pic>
    <xdr:clientData/>
  </xdr:twoCellAnchor>
  <xdr:twoCellAnchor editAs="oneCell">
    <xdr:from>
      <xdr:col>9</xdr:col>
      <xdr:colOff>23813</xdr:colOff>
      <xdr:row>6</xdr:row>
      <xdr:rowOff>23814</xdr:rowOff>
    </xdr:from>
    <xdr:to>
      <xdr:col>9</xdr:col>
      <xdr:colOff>464344</xdr:colOff>
      <xdr:row>7</xdr:row>
      <xdr:rowOff>36673</xdr:rowOff>
    </xdr:to>
    <xdr:pic>
      <xdr:nvPicPr>
        <xdr:cNvPr id="17" name="Graphic 16" descr="Coins with solid fill">
          <a:extLst>
            <a:ext uri="{FF2B5EF4-FFF2-40B4-BE49-F238E27FC236}">
              <a16:creationId xmlns:a16="http://schemas.microsoft.com/office/drawing/2014/main" id="{DB54C0CE-8373-D921-FDB2-019DCB0108C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95938" y="1285877"/>
          <a:ext cx="440531" cy="370046"/>
        </a:xfrm>
        <a:prstGeom prst="rect">
          <a:avLst/>
        </a:prstGeom>
      </xdr:spPr>
    </xdr:pic>
    <xdr:clientData/>
  </xdr:twoCellAnchor>
  <xdr:twoCellAnchor editAs="oneCell">
    <xdr:from>
      <xdr:col>12</xdr:col>
      <xdr:colOff>774727</xdr:colOff>
      <xdr:row>6</xdr:row>
      <xdr:rowOff>37633</xdr:rowOff>
    </xdr:from>
    <xdr:to>
      <xdr:col>14</xdr:col>
      <xdr:colOff>112767</xdr:colOff>
      <xdr:row>6</xdr:row>
      <xdr:rowOff>323383</xdr:rowOff>
    </xdr:to>
    <xdr:pic>
      <xdr:nvPicPr>
        <xdr:cNvPr id="21" name="Graphic 20" descr="Bar chart with solid fill">
          <a:extLst>
            <a:ext uri="{FF2B5EF4-FFF2-40B4-BE49-F238E27FC236}">
              <a16:creationId xmlns:a16="http://schemas.microsoft.com/office/drawing/2014/main" id="{E028B316-4084-4516-E10A-5D47FFAC556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230503" y="1274788"/>
          <a:ext cx="721902" cy="285750"/>
        </a:xfrm>
        <a:prstGeom prst="rect">
          <a:avLst/>
        </a:prstGeom>
      </xdr:spPr>
    </xdr:pic>
    <xdr:clientData/>
  </xdr:twoCellAnchor>
  <xdr:twoCellAnchor>
    <xdr:from>
      <xdr:col>0</xdr:col>
      <xdr:colOff>594162</xdr:colOff>
      <xdr:row>9</xdr:row>
      <xdr:rowOff>101655</xdr:rowOff>
    </xdr:from>
    <xdr:to>
      <xdr:col>12</xdr:col>
      <xdr:colOff>0</xdr:colOff>
      <xdr:row>24</xdr:row>
      <xdr:rowOff>53045</xdr:rowOff>
    </xdr:to>
    <xdr:graphicFrame macro="">
      <xdr:nvGraphicFramePr>
        <xdr:cNvPr id="2" name="Chart 1">
          <a:extLst>
            <a:ext uri="{FF2B5EF4-FFF2-40B4-BE49-F238E27FC236}">
              <a16:creationId xmlns:a16="http://schemas.microsoft.com/office/drawing/2014/main" id="{E7441F58-154D-607C-B371-1B262754B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164224</xdr:colOff>
      <xdr:row>9</xdr:row>
      <xdr:rowOff>75488</xdr:rowOff>
    </xdr:from>
    <xdr:to>
      <xdr:col>20</xdr:col>
      <xdr:colOff>547414</xdr:colOff>
      <xdr:row>24</xdr:row>
      <xdr:rowOff>26878</xdr:rowOff>
    </xdr:to>
    <xdr:graphicFrame macro="">
      <xdr:nvGraphicFramePr>
        <xdr:cNvPr id="4" name="Chart 3">
          <a:extLst>
            <a:ext uri="{FF2B5EF4-FFF2-40B4-BE49-F238E27FC236}">
              <a16:creationId xmlns:a16="http://schemas.microsoft.com/office/drawing/2014/main" id="{ED10A722-77CB-548B-BFA7-BB418BF68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578838</xdr:colOff>
      <xdr:row>24</xdr:row>
      <xdr:rowOff>150594</xdr:rowOff>
    </xdr:from>
    <xdr:to>
      <xdr:col>7</xdr:col>
      <xdr:colOff>459829</xdr:colOff>
      <xdr:row>38</xdr:row>
      <xdr:rowOff>153276</xdr:rowOff>
    </xdr:to>
    <xdr:graphicFrame macro="">
      <xdr:nvGraphicFramePr>
        <xdr:cNvPr id="6" name="Chart 4">
          <a:extLst>
            <a:ext uri="{FF2B5EF4-FFF2-40B4-BE49-F238E27FC236}">
              <a16:creationId xmlns:a16="http://schemas.microsoft.com/office/drawing/2014/main" id="{B5B08D85-AE71-0384-91C0-B574E2294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558363</xdr:colOff>
      <xdr:row>26</xdr:row>
      <xdr:rowOff>7171</xdr:rowOff>
    </xdr:from>
    <xdr:to>
      <xdr:col>14</xdr:col>
      <xdr:colOff>580260</xdr:colOff>
      <xdr:row>38</xdr:row>
      <xdr:rowOff>175172</xdr:rowOff>
    </xdr:to>
    <xdr:graphicFrame macro="">
      <xdr:nvGraphicFramePr>
        <xdr:cNvPr id="8" name="Chart 5">
          <a:extLst>
            <a:ext uri="{FF2B5EF4-FFF2-40B4-BE49-F238E27FC236}">
              <a16:creationId xmlns:a16="http://schemas.microsoft.com/office/drawing/2014/main" id="{E9153F35-FEDF-1E30-D272-E1762B720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21898</xdr:colOff>
      <xdr:row>25</xdr:row>
      <xdr:rowOff>173258</xdr:rowOff>
    </xdr:from>
    <xdr:to>
      <xdr:col>20</xdr:col>
      <xdr:colOff>591208</xdr:colOff>
      <xdr:row>38</xdr:row>
      <xdr:rowOff>153276</xdr:rowOff>
    </xdr:to>
    <xdr:graphicFrame macro="">
      <xdr:nvGraphicFramePr>
        <xdr:cNvPr id="9" name="Chart 6">
          <a:extLst>
            <a:ext uri="{FF2B5EF4-FFF2-40B4-BE49-F238E27FC236}">
              <a16:creationId xmlns:a16="http://schemas.microsoft.com/office/drawing/2014/main" id="{85239FCB-7A26-0284-D715-9E1D44064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21</xdr:col>
      <xdr:colOff>21460</xdr:colOff>
      <xdr:row>26</xdr:row>
      <xdr:rowOff>43793</xdr:rowOff>
    </xdr:from>
    <xdr:to>
      <xdr:col>24</xdr:col>
      <xdr:colOff>0</xdr:colOff>
      <xdr:row>32</xdr:row>
      <xdr:rowOff>109482</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67058131-0849-BA49-3F2E-7B1C94FB0C8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812174" y="5309757"/>
              <a:ext cx="2019612" cy="1208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5036</xdr:colOff>
      <xdr:row>19</xdr:row>
      <xdr:rowOff>87584</xdr:rowOff>
    </xdr:from>
    <xdr:to>
      <xdr:col>24</xdr:col>
      <xdr:colOff>0</xdr:colOff>
      <xdr:row>26</xdr:row>
      <xdr:rowOff>10946</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98B6D8C1-3288-D94E-F907-6D623BB5FD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95750" y="4020048"/>
              <a:ext cx="2036036" cy="1256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342</xdr:colOff>
      <xdr:row>10</xdr:row>
      <xdr:rowOff>32514</xdr:rowOff>
    </xdr:from>
    <xdr:to>
      <xdr:col>24</xdr:col>
      <xdr:colOff>27213</xdr:colOff>
      <xdr:row>19</xdr:row>
      <xdr:rowOff>120429</xdr:rowOff>
    </xdr:to>
    <mc:AlternateContent xmlns:mc="http://schemas.openxmlformats.org/markup-compatibility/2006" xmlns:a14="http://schemas.microsoft.com/office/drawing/2010/main">
      <mc:Choice Requires="a14">
        <xdr:graphicFrame macro="">
          <xdr:nvGraphicFramePr>
            <xdr:cNvPr id="12" name="Customer_City">
              <a:extLst>
                <a:ext uri="{FF2B5EF4-FFF2-40B4-BE49-F238E27FC236}">
                  <a16:creationId xmlns:a16="http://schemas.microsoft.com/office/drawing/2014/main" id="{29B4AB5B-80CA-1EFD-21B3-6A70939531A8}"/>
                </a:ext>
              </a:extLst>
            </xdr:cNvPr>
            <xdr:cNvGraphicFramePr/>
          </xdr:nvGraphicFramePr>
          <xdr:xfrm>
            <a:off x="0" y="0"/>
            <a:ext cx="0" cy="0"/>
          </xdr:xfrm>
          <a:graphic>
            <a:graphicData uri="http://schemas.microsoft.com/office/drawing/2010/slicer">
              <sle:slicer xmlns:sle="http://schemas.microsoft.com/office/drawing/2010/slicer" name="Customer_City"/>
            </a:graphicData>
          </a:graphic>
        </xdr:graphicFrame>
      </mc:Choice>
      <mc:Fallback xmlns="">
        <xdr:sp macro="" textlink="">
          <xdr:nvSpPr>
            <xdr:cNvPr id="0" name=""/>
            <xdr:cNvSpPr>
              <a:spLocks noTextEdit="1"/>
            </xdr:cNvSpPr>
          </xdr:nvSpPr>
          <xdr:spPr>
            <a:xfrm>
              <a:off x="12791056" y="2250478"/>
              <a:ext cx="2067943" cy="1802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21</xdr:col>
      <xdr:colOff>10949</xdr:colOff>
      <xdr:row>32</xdr:row>
      <xdr:rowOff>131378</xdr:rowOff>
    </xdr:from>
    <xdr:ext cx="2043730" cy="2682328"/>
    <xdr:sp macro="" textlink="">
      <xdr:nvSpPr>
        <xdr:cNvPr id="14" name="TextBox 13">
          <a:extLst>
            <a:ext uri="{FF2B5EF4-FFF2-40B4-BE49-F238E27FC236}">
              <a16:creationId xmlns:a16="http://schemas.microsoft.com/office/drawing/2014/main" id="{DA47EE6A-58C3-A1D6-1DA5-E7006FDA6AAA}"/>
            </a:ext>
          </a:extLst>
        </xdr:cNvPr>
        <xdr:cNvSpPr txBox="1"/>
      </xdr:nvSpPr>
      <xdr:spPr>
        <a:xfrm>
          <a:off x="12801663" y="6540342"/>
          <a:ext cx="2043730" cy="2682328"/>
        </a:xfrm>
        <a:prstGeom prst="rect">
          <a:avLst/>
        </a:prstGeom>
        <a:solidFill>
          <a:srgbClr val="EBF3FB"/>
        </a:solidFill>
        <a:ln>
          <a:solidFill>
            <a:srgbClr val="2E75B6"/>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a:solidFill>
                <a:schemeClr val="bg2">
                  <a:lumMod val="25000"/>
                </a:schemeClr>
              </a:solidFill>
            </a:rPr>
            <a:t>KEY INSIGHTS</a:t>
          </a:r>
        </a:p>
        <a:p>
          <a:endParaRPr lang="en-US" sz="1000">
            <a:solidFill>
              <a:schemeClr val="bg2">
                <a:lumMod val="25000"/>
              </a:schemeClr>
            </a:solidFill>
          </a:endParaRPr>
        </a:p>
        <a:p>
          <a:r>
            <a:rPr lang="en-US" sz="1000">
              <a:solidFill>
                <a:schemeClr val="bg2">
                  <a:lumMod val="25000"/>
                </a:schemeClr>
              </a:solidFill>
            </a:rPr>
            <a:t>✅ Lahore contributes highest </a:t>
          </a:r>
        </a:p>
        <a:p>
          <a:r>
            <a:rPr lang="en-US" sz="1000">
              <a:solidFill>
                <a:schemeClr val="bg2">
                  <a:lumMod val="25000"/>
                </a:schemeClr>
              </a:solidFill>
            </a:rPr>
            <a:t>   revenue at 29.3%</a:t>
          </a:r>
        </a:p>
        <a:p>
          <a:endParaRPr lang="en-US" sz="1000">
            <a:solidFill>
              <a:schemeClr val="bg2">
                <a:lumMod val="25000"/>
              </a:schemeClr>
            </a:solidFill>
          </a:endParaRPr>
        </a:p>
        <a:p>
          <a:r>
            <a:rPr lang="en-US" sz="1000">
              <a:solidFill>
                <a:schemeClr val="bg2">
                  <a:lumMod val="25000"/>
                </a:schemeClr>
              </a:solidFill>
            </a:rPr>
            <a:t>✅ Home &amp; Kitchen dominates </a:t>
          </a:r>
        </a:p>
        <a:p>
          <a:r>
            <a:rPr lang="en-US" sz="1000">
              <a:solidFill>
                <a:schemeClr val="bg2">
                  <a:lumMod val="25000"/>
                </a:schemeClr>
              </a:solidFill>
            </a:rPr>
            <a:t>   at 57% of total revenue</a:t>
          </a:r>
        </a:p>
        <a:p>
          <a:endParaRPr lang="en-US" sz="1000">
            <a:solidFill>
              <a:schemeClr val="bg2">
                <a:lumMod val="25000"/>
              </a:schemeClr>
            </a:solidFill>
          </a:endParaRPr>
        </a:p>
        <a:p>
          <a:r>
            <a:rPr lang="en-US" sz="1000">
              <a:solidFill>
                <a:schemeClr val="bg2">
                  <a:lumMod val="25000"/>
                </a:schemeClr>
              </a:solidFill>
            </a:rPr>
            <a:t>✅ 88% of orders delivered </a:t>
          </a:r>
        </a:p>
        <a:p>
          <a:r>
            <a:rPr lang="en-US" sz="1000">
              <a:solidFill>
                <a:schemeClr val="bg2">
                  <a:lumMod val="25000"/>
                </a:schemeClr>
              </a:solidFill>
            </a:rPr>
            <a:t>   successfully</a:t>
          </a:r>
        </a:p>
        <a:p>
          <a:endParaRPr lang="en-US" sz="1000">
            <a:solidFill>
              <a:schemeClr val="bg2">
                <a:lumMod val="25000"/>
              </a:schemeClr>
            </a:solidFill>
          </a:endParaRPr>
        </a:p>
        <a:p>
          <a:r>
            <a:rPr lang="en-US" sz="1000">
              <a:solidFill>
                <a:schemeClr val="bg2">
                  <a:lumMod val="25000"/>
                </a:schemeClr>
              </a:solidFill>
            </a:rPr>
            <a:t>✅ Air Fryer is top product </a:t>
          </a:r>
        </a:p>
        <a:p>
          <a:r>
            <a:rPr lang="en-US" sz="1000">
              <a:solidFill>
                <a:schemeClr val="bg2">
                  <a:lumMod val="25000"/>
                </a:schemeClr>
              </a:solidFill>
            </a:rPr>
            <a:t>   at PKR 6,300</a:t>
          </a:r>
        </a:p>
        <a:p>
          <a:endParaRPr lang="en-US" sz="1000">
            <a:solidFill>
              <a:schemeClr val="bg2">
                <a:lumMod val="25000"/>
              </a:schemeClr>
            </a:solidFill>
          </a:endParaRPr>
        </a:p>
        <a:p>
          <a:r>
            <a:rPr lang="en-US" sz="1000">
              <a:solidFill>
                <a:schemeClr val="bg2">
                  <a:lumMod val="25000"/>
                </a:schemeClr>
              </a:solidFill>
            </a:rPr>
            <a:t>✅ Gold members generate </a:t>
          </a:r>
        </a:p>
        <a:p>
          <a:r>
            <a:rPr lang="en-US" sz="1000">
              <a:solidFill>
                <a:schemeClr val="bg2">
                  <a:lumMod val="25000"/>
                </a:schemeClr>
              </a:solidFill>
            </a:rPr>
            <a:t>   highest revenue at 35.66%</a:t>
          </a:r>
        </a:p>
      </xdr:txBody>
    </xdr:sp>
    <xdr:clientData/>
  </xdr:oneCellAnchor>
  <xdr:twoCellAnchor>
    <xdr:from>
      <xdr:col>13</xdr:col>
      <xdr:colOff>262759</xdr:colOff>
      <xdr:row>41</xdr:row>
      <xdr:rowOff>43793</xdr:rowOff>
    </xdr:from>
    <xdr:to>
      <xdr:col>13</xdr:col>
      <xdr:colOff>531211</xdr:colOff>
      <xdr:row>41</xdr:row>
      <xdr:rowOff>175172</xdr:rowOff>
    </xdr:to>
    <xdr:sp macro="" textlink="">
      <xdr:nvSpPr>
        <xdr:cNvPr id="16" name="Rectangle 15">
          <a:extLst>
            <a:ext uri="{FF2B5EF4-FFF2-40B4-BE49-F238E27FC236}">
              <a16:creationId xmlns:a16="http://schemas.microsoft.com/office/drawing/2014/main" id="{82821849-C70F-EB34-071C-225E3A5A77A0}"/>
            </a:ext>
          </a:extLst>
        </xdr:cNvPr>
        <xdr:cNvSpPr/>
      </xdr:nvSpPr>
      <xdr:spPr>
        <a:xfrm>
          <a:off x="8298793" y="7981293"/>
          <a:ext cx="268452" cy="131379"/>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273706</xdr:colOff>
      <xdr:row>43</xdr:row>
      <xdr:rowOff>65690</xdr:rowOff>
    </xdr:from>
    <xdr:to>
      <xdr:col>13</xdr:col>
      <xdr:colOff>542158</xdr:colOff>
      <xdr:row>44</xdr:row>
      <xdr:rowOff>10948</xdr:rowOff>
    </xdr:to>
    <xdr:sp macro="" textlink="">
      <xdr:nvSpPr>
        <xdr:cNvPr id="20" name="Rectangle 19">
          <a:extLst>
            <a:ext uri="{FF2B5EF4-FFF2-40B4-BE49-F238E27FC236}">
              <a16:creationId xmlns:a16="http://schemas.microsoft.com/office/drawing/2014/main" id="{81D76019-8E7C-43F2-A7CB-6C23F706D91D}"/>
            </a:ext>
          </a:extLst>
        </xdr:cNvPr>
        <xdr:cNvSpPr/>
      </xdr:nvSpPr>
      <xdr:spPr>
        <a:xfrm>
          <a:off x="8309740" y="8375431"/>
          <a:ext cx="268452" cy="131379"/>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273707</xdr:colOff>
      <xdr:row>44</xdr:row>
      <xdr:rowOff>76638</xdr:rowOff>
    </xdr:from>
    <xdr:to>
      <xdr:col>13</xdr:col>
      <xdr:colOff>542159</xdr:colOff>
      <xdr:row>45</xdr:row>
      <xdr:rowOff>21896</xdr:rowOff>
    </xdr:to>
    <xdr:sp macro="" textlink="">
      <xdr:nvSpPr>
        <xdr:cNvPr id="22" name="Rectangle 21">
          <a:extLst>
            <a:ext uri="{FF2B5EF4-FFF2-40B4-BE49-F238E27FC236}">
              <a16:creationId xmlns:a16="http://schemas.microsoft.com/office/drawing/2014/main" id="{96302825-E021-4FBC-A977-0C1D41404FB6}"/>
            </a:ext>
          </a:extLst>
        </xdr:cNvPr>
        <xdr:cNvSpPr/>
      </xdr:nvSpPr>
      <xdr:spPr>
        <a:xfrm>
          <a:off x="8309741" y="8572500"/>
          <a:ext cx="268452" cy="13137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273707</xdr:colOff>
      <xdr:row>45</xdr:row>
      <xdr:rowOff>98535</xdr:rowOff>
    </xdr:from>
    <xdr:to>
      <xdr:col>13</xdr:col>
      <xdr:colOff>542159</xdr:colOff>
      <xdr:row>46</xdr:row>
      <xdr:rowOff>43794</xdr:rowOff>
    </xdr:to>
    <xdr:sp macro="" textlink="">
      <xdr:nvSpPr>
        <xdr:cNvPr id="23" name="Rectangle 22">
          <a:extLst>
            <a:ext uri="{FF2B5EF4-FFF2-40B4-BE49-F238E27FC236}">
              <a16:creationId xmlns:a16="http://schemas.microsoft.com/office/drawing/2014/main" id="{1AF8E2AA-233C-4BA0-803C-44FC460EBF9F}"/>
            </a:ext>
          </a:extLst>
        </xdr:cNvPr>
        <xdr:cNvSpPr/>
      </xdr:nvSpPr>
      <xdr:spPr>
        <a:xfrm>
          <a:off x="8309741" y="8780518"/>
          <a:ext cx="268452" cy="131379"/>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262758</xdr:colOff>
      <xdr:row>42</xdr:row>
      <xdr:rowOff>65690</xdr:rowOff>
    </xdr:from>
    <xdr:to>
      <xdr:col>13</xdr:col>
      <xdr:colOff>531210</xdr:colOff>
      <xdr:row>43</xdr:row>
      <xdr:rowOff>10949</xdr:rowOff>
    </xdr:to>
    <xdr:sp macro="" textlink="">
      <xdr:nvSpPr>
        <xdr:cNvPr id="24" name="Rectangle 23">
          <a:extLst>
            <a:ext uri="{FF2B5EF4-FFF2-40B4-BE49-F238E27FC236}">
              <a16:creationId xmlns:a16="http://schemas.microsoft.com/office/drawing/2014/main" id="{84918E81-9EB2-461A-93CC-AFB6F6219183}"/>
            </a:ext>
          </a:extLst>
        </xdr:cNvPr>
        <xdr:cNvSpPr/>
      </xdr:nvSpPr>
      <xdr:spPr>
        <a:xfrm>
          <a:off x="8298792" y="8189311"/>
          <a:ext cx="268452" cy="1313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0.84204</cdr:x>
      <cdr:y>0.24232</cdr:y>
    </cdr:from>
    <cdr:to>
      <cdr:x>0.9753</cdr:x>
      <cdr:y>0.57565</cdr:y>
    </cdr:to>
    <cdr:sp macro="" textlink="">
      <cdr:nvSpPr>
        <cdr:cNvPr id="2" name="TextBox 1">
          <a:extLst xmlns:a="http://schemas.openxmlformats.org/drawingml/2006/main">
            <a:ext uri="{FF2B5EF4-FFF2-40B4-BE49-F238E27FC236}">
              <a16:creationId xmlns:a16="http://schemas.microsoft.com/office/drawing/2014/main" id="{F0342C04-2B04-0312-001F-FA7916BFDDA0}"/>
            </a:ext>
          </a:extLst>
        </cdr:cNvPr>
        <cdr:cNvSpPr txBox="1"/>
      </cdr:nvSpPr>
      <cdr:spPr>
        <a:xfrm xmlns:a="http://schemas.openxmlformats.org/drawingml/2006/main">
          <a:off x="5777735" y="6647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0.86674</cdr:x>
      <cdr:y>0.12658</cdr:y>
    </cdr:from>
    <cdr:to>
      <cdr:x>1</cdr:x>
      <cdr:y>0.45991</cdr:y>
    </cdr:to>
    <cdr:sp macro="" textlink="">
      <cdr:nvSpPr>
        <cdr:cNvPr id="3" name="TextBox 2">
          <a:extLst xmlns:a="http://schemas.openxmlformats.org/drawingml/2006/main">
            <a:ext uri="{FF2B5EF4-FFF2-40B4-BE49-F238E27FC236}">
              <a16:creationId xmlns:a16="http://schemas.microsoft.com/office/drawing/2014/main" id="{6CEC2DDD-0952-53AB-C2FE-13B2BA5E6EBB}"/>
            </a:ext>
          </a:extLst>
        </cdr:cNvPr>
        <cdr:cNvSpPr txBox="1"/>
      </cdr:nvSpPr>
      <cdr:spPr>
        <a:xfrm xmlns:a="http://schemas.openxmlformats.org/drawingml/2006/main">
          <a:off x="5963855" y="3472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0.80693</cdr:x>
      <cdr:y>0.01483</cdr:y>
    </cdr:from>
    <cdr:to>
      <cdr:x>0.95775</cdr:x>
      <cdr:y>0.58954</cdr:y>
    </cdr:to>
    <cdr:sp macro="" textlink="">
      <cdr:nvSpPr>
        <cdr:cNvPr id="4" name="TextBox 3">
          <a:extLst xmlns:a="http://schemas.openxmlformats.org/drawingml/2006/main">
            <a:ext uri="{FF2B5EF4-FFF2-40B4-BE49-F238E27FC236}">
              <a16:creationId xmlns:a16="http://schemas.microsoft.com/office/drawing/2014/main" id="{FFC8D161-78E9-0974-A13D-7303CA8217BD}"/>
            </a:ext>
          </a:extLst>
        </cdr:cNvPr>
        <cdr:cNvSpPr txBox="1"/>
      </cdr:nvSpPr>
      <cdr:spPr>
        <a:xfrm xmlns:a="http://schemas.openxmlformats.org/drawingml/2006/main">
          <a:off x="5536873" y="40671"/>
          <a:ext cx="1034832" cy="1576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solidFill>
                <a:schemeClr val="accent1">
                  <a:lumMod val="75000"/>
                </a:schemeClr>
              </a:solidFill>
            </a:rPr>
            <a:t>Revenue Share</a:t>
          </a:r>
        </a:p>
        <a:p xmlns:a="http://schemas.openxmlformats.org/drawingml/2006/main">
          <a:endParaRPr lang="en-US" sz="1100" kern="1200">
            <a:solidFill>
              <a:schemeClr val="accent1">
                <a:lumMod val="75000"/>
              </a:schemeClr>
            </a:solidFill>
          </a:endParaRPr>
        </a:p>
        <a:p xmlns:a="http://schemas.openxmlformats.org/drawingml/2006/main">
          <a:r>
            <a:rPr lang="en-US" sz="1100" kern="1200">
              <a:solidFill>
                <a:schemeClr val="accent1">
                  <a:lumMod val="75000"/>
                </a:schemeClr>
              </a:solidFill>
            </a:rPr>
            <a:t>● </a:t>
          </a:r>
          <a:r>
            <a:rPr lang="en-US" sz="900" kern="1200">
              <a:solidFill>
                <a:schemeClr val="accent1">
                  <a:lumMod val="75000"/>
                </a:schemeClr>
              </a:solidFill>
            </a:rPr>
            <a:t>Lahore         29.3%</a:t>
          </a:r>
        </a:p>
        <a:p xmlns:a="http://schemas.openxmlformats.org/drawingml/2006/main">
          <a:r>
            <a:rPr lang="en-US" sz="900" kern="1200">
              <a:solidFill>
                <a:schemeClr val="accent1">
                  <a:lumMod val="75000"/>
                </a:schemeClr>
              </a:solidFill>
            </a:rPr>
            <a:t>● Karachi         29.2%</a:t>
          </a:r>
        </a:p>
        <a:p xmlns:a="http://schemas.openxmlformats.org/drawingml/2006/main">
          <a:r>
            <a:rPr lang="en-US" sz="900" kern="1200">
              <a:solidFill>
                <a:schemeClr val="accent1">
                  <a:lumMod val="75000"/>
                </a:schemeClr>
              </a:solidFill>
            </a:rPr>
            <a:t>● Islamabad    17.2%</a:t>
          </a:r>
        </a:p>
        <a:p xmlns:a="http://schemas.openxmlformats.org/drawingml/2006/main">
          <a:r>
            <a:rPr lang="en-US" sz="900" kern="1200">
              <a:solidFill>
                <a:schemeClr val="accent1">
                  <a:lumMod val="75000"/>
                </a:schemeClr>
              </a:solidFill>
            </a:rPr>
            <a:t>● Rawalpindi   14.7%</a:t>
          </a:r>
        </a:p>
        <a:p xmlns:a="http://schemas.openxmlformats.org/drawingml/2006/main">
          <a:r>
            <a:rPr lang="en-US" sz="900" kern="1200">
              <a:solidFill>
                <a:schemeClr val="accent1">
                  <a:lumMod val="75000"/>
                </a:schemeClr>
              </a:solidFill>
            </a:rPr>
            <a:t>● Faisalabad     9.6%</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Zeb" refreshedDate="46138.638952199071" createdVersion="8" refreshedVersion="8" minRefreshableVersion="3" recordCount="300" xr:uid="{5D1B7238-A13F-4F6F-98EB-156CB0510981}">
  <cacheSource type="worksheet">
    <worksheetSource ref="A1:N301" sheet="Orders"/>
  </cacheSource>
  <cacheFields count="15">
    <cacheField name="Order_ID" numFmtId="0">
      <sharedItems/>
    </cacheField>
    <cacheField name="Customer_ID" numFmtId="0">
      <sharedItems/>
    </cacheField>
    <cacheField name="Product_ID" numFmtId="0">
      <sharedItems/>
    </cacheField>
    <cacheField name="Quantity" numFmtId="0">
      <sharedItems containsSemiMixedTypes="0" containsString="0" containsNumber="1" containsInteger="1" minValue="1" maxValue="5"/>
    </cacheField>
    <cacheField name="Order_Date" numFmtId="15">
      <sharedItems containsSemiMixedTypes="0" containsNonDate="0" containsDate="1" containsString="0" minDate="2026-04-01T00:00:00" maxDate="2026-08-29T00:00:00"/>
    </cacheField>
    <cacheField name="Status" numFmtId="0">
      <sharedItems count="3">
        <s v="Delivered"/>
        <s v="Returned"/>
        <s v="Pending"/>
      </sharedItems>
    </cacheField>
    <cacheField name="Product name" numFmtId="0">
      <sharedItems count="15">
        <s v="Laptop Stand"/>
        <s v="Air Fryer"/>
        <s v="Phone Case"/>
        <s v="Hair Serum"/>
        <s v="Kettle"/>
        <s v="Sunscreen"/>
        <s v="Wireless Earbuds"/>
        <s v="Coffee Maker"/>
        <s v="Face Serum"/>
        <s v="Rice Cooker"/>
        <s v="Smart Watch"/>
        <s v="Moisturizer"/>
        <s v="Blender"/>
        <s v="Bluetooth Speaker"/>
        <s v="Night Cream"/>
      </sharedItems>
    </cacheField>
    <cacheField name="Category" numFmtId="0">
      <sharedItems count="3">
        <s v="Electronics"/>
        <s v="Home &amp; Kitchen"/>
        <s v="Beauty"/>
      </sharedItems>
    </cacheField>
    <cacheField name="Unit_price" numFmtId="0">
      <sharedItems containsSemiMixedTypes="0" containsString="0" containsNumber="1" containsInteger="1" minValue="12" maxValue="200"/>
    </cacheField>
    <cacheField name="Customer_name" numFmtId="0">
      <sharedItems count="49">
        <s v="Mariam Javed"/>
        <s v="Rabia Tariq"/>
        <s v="Omar Tariq"/>
        <s v="Faisal Chaudhry"/>
        <s v="Maryam Shah"/>
        <s v="Bilal Raza"/>
        <s v="Amna Rizvi"/>
        <s v="Sana Malik"/>
        <s v="Farah Noor"/>
        <s v="Talha Mirza"/>
        <s v="Ayesha Siddiqui"/>
        <s v="Ali Hussain"/>
        <s v="Noor Fatima"/>
        <s v="Zainab Hussain"/>
        <s v="Bilal Sheikh"/>
        <s v="Omer Farooq"/>
        <s v="Hamza Tariq"/>
        <s v="Tariq Mehmood"/>
        <s v="Sara Ali"/>
        <s v="Zara Malik"/>
        <s v="Rabia Noor"/>
        <s v="Kamran Iqbal"/>
        <s v="Nabeel Awan"/>
        <s v="Bilal Ahmed"/>
        <s v="Imran Satti"/>
        <s v="Imran Khan"/>
        <s v="Hina Awan"/>
        <s v="Sadia Awan"/>
        <s v="Ahmed Khan"/>
        <s v="Junaid Alam"/>
        <s v="Sobia Tariq"/>
        <s v="Saad Butt"/>
        <s v="Mehwish Tariq"/>
        <s v="Fatima Malik"/>
        <s v="Asad Mahmood"/>
        <s v="Taha Qureshi"/>
        <s v="Nadia Qureshi"/>
        <s v="Maham Rizvi"/>
        <s v="Zubair Hassan"/>
        <s v="Sundas Ali"/>
        <s v="Ahmed Raza"/>
        <s v="Rida Fatima"/>
        <s v="Usman Sheikh"/>
        <s v="Hira Baig"/>
        <s v="Hassan Butt"/>
        <s v="Danish Khan"/>
        <s v="Yusuf Khan"/>
        <s v="Lubna Shah"/>
        <s v="Zeeshan Malik"/>
      </sharedItems>
    </cacheField>
    <cacheField name="Customer_City" numFmtId="0">
      <sharedItems count="5">
        <s v="Rawalpindi"/>
        <s v="Karachi"/>
        <s v="Islamabad"/>
        <s v="Lahore"/>
        <s v="Faisalabad"/>
      </sharedItems>
    </cacheField>
    <cacheField name="Membership" numFmtId="0">
      <sharedItems count="3">
        <s v="Bronze"/>
        <s v="Gold"/>
        <s v="Silver"/>
      </sharedItems>
    </cacheField>
    <cacheField name="Total_Revenue" numFmtId="0">
      <sharedItems containsSemiMixedTypes="0" containsString="0" containsNumber="1" containsInteger="1" minValue="12" maxValue="600"/>
    </cacheField>
    <cacheField name="Supplier City" numFmtId="0">
      <sharedItems/>
    </cacheField>
    <cacheField name="Revenue per unit" numFmtId="0" formula="Total_Revenue/Quantity" databaseField="0"/>
  </cacheFields>
  <extLst>
    <ext xmlns:x14="http://schemas.microsoft.com/office/spreadsheetml/2009/9/main" uri="{725AE2AE-9491-48be-B2B4-4EB974FC3084}">
      <x14:pivotCacheDefinition pivotCacheId="1250454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001"/>
    <s v="C012"/>
    <s v="P05"/>
    <n v="2"/>
    <d v="2026-04-01T00:00:00"/>
    <x v="0"/>
    <x v="0"/>
    <x v="0"/>
    <n v="40"/>
    <x v="0"/>
    <x v="0"/>
    <x v="0"/>
    <n v="80"/>
    <s v="Rawalpindi"/>
  </r>
  <r>
    <s v="O002"/>
    <s v="C034"/>
    <s v="P12"/>
    <n v="1"/>
    <d v="2026-04-01T00:00:00"/>
    <x v="0"/>
    <x v="1"/>
    <x v="1"/>
    <n v="150"/>
    <x v="1"/>
    <x v="1"/>
    <x v="1"/>
    <n v="150"/>
    <s v="Lahore"/>
  </r>
  <r>
    <s v="O003"/>
    <s v="C007"/>
    <s v="P03"/>
    <n v="3"/>
    <d v="2026-04-02T00:00:00"/>
    <x v="0"/>
    <x v="2"/>
    <x v="0"/>
    <n v="12"/>
    <x v="2"/>
    <x v="1"/>
    <x v="1"/>
    <n v="36"/>
    <s v="Islamabad"/>
  </r>
  <r>
    <s v="O004"/>
    <s v="C021"/>
    <s v="P08"/>
    <n v="1"/>
    <d v="2026-04-02T00:00:00"/>
    <x v="1"/>
    <x v="3"/>
    <x v="2"/>
    <n v="35"/>
    <x v="3"/>
    <x v="2"/>
    <x v="0"/>
    <n v="35"/>
    <s v="Islamabad"/>
  </r>
  <r>
    <s v="O005"/>
    <s v="C045"/>
    <s v="P15"/>
    <n v="2"/>
    <d v="2026-04-03T00:00:00"/>
    <x v="0"/>
    <x v="4"/>
    <x v="1"/>
    <n v="65"/>
    <x v="4"/>
    <x v="1"/>
    <x v="0"/>
    <n v="130"/>
    <s v="Karachi"/>
  </r>
  <r>
    <s v="O006"/>
    <s v="C003"/>
    <s v="P07"/>
    <n v="4"/>
    <d v="2026-04-03T00:00:00"/>
    <x v="0"/>
    <x v="5"/>
    <x v="2"/>
    <n v="15"/>
    <x v="5"/>
    <x v="2"/>
    <x v="0"/>
    <n v="60"/>
    <s v="Karachi"/>
  </r>
  <r>
    <s v="O007"/>
    <s v="C018"/>
    <s v="P02"/>
    <n v="1"/>
    <d v="2026-04-04T00:00:00"/>
    <x v="2"/>
    <x v="6"/>
    <x v="0"/>
    <n v="45"/>
    <x v="6"/>
    <x v="3"/>
    <x v="0"/>
    <n v="45"/>
    <s v="Lahore"/>
  </r>
  <r>
    <s v="O008"/>
    <s v="C029"/>
    <s v="P11"/>
    <n v="1"/>
    <d v="2026-04-04T00:00:00"/>
    <x v="0"/>
    <x v="7"/>
    <x v="1"/>
    <n v="110"/>
    <x v="7"/>
    <x v="3"/>
    <x v="2"/>
    <n v="110"/>
    <s v="Karachi"/>
  </r>
  <r>
    <s v="O009"/>
    <s v="C041"/>
    <s v="P06"/>
    <n v="5"/>
    <d v="2026-04-05T00:00:00"/>
    <x v="0"/>
    <x v="8"/>
    <x v="2"/>
    <n v="30"/>
    <x v="8"/>
    <x v="1"/>
    <x v="2"/>
    <n v="150"/>
    <s v="Lahore"/>
  </r>
  <r>
    <s v="O010"/>
    <s v="C015"/>
    <s v="P14"/>
    <n v="3"/>
    <d v="2026-04-05T00:00:00"/>
    <x v="1"/>
    <x v="9"/>
    <x v="1"/>
    <n v="95"/>
    <x v="9"/>
    <x v="3"/>
    <x v="0"/>
    <n v="285"/>
    <s v="Rawalpindi"/>
  </r>
  <r>
    <s v="O011"/>
    <s v="C008"/>
    <s v="P01"/>
    <n v="1"/>
    <d v="2026-04-06T00:00:00"/>
    <x v="0"/>
    <x v="10"/>
    <x v="0"/>
    <n v="200"/>
    <x v="10"/>
    <x v="2"/>
    <x v="2"/>
    <n v="200"/>
    <s v="Karachi"/>
  </r>
  <r>
    <s v="O012"/>
    <s v="C037"/>
    <s v="P09"/>
    <n v="1"/>
    <d v="2026-04-06T00:00:00"/>
    <x v="0"/>
    <x v="11"/>
    <x v="2"/>
    <n v="25"/>
    <x v="11"/>
    <x v="1"/>
    <x v="1"/>
    <n v="25"/>
    <s v="Lahore"/>
  </r>
  <r>
    <s v="O013"/>
    <s v="C022"/>
    <s v="P13"/>
    <n v="2"/>
    <d v="2026-04-07T00:00:00"/>
    <x v="0"/>
    <x v="12"/>
    <x v="1"/>
    <n v="120"/>
    <x v="12"/>
    <x v="3"/>
    <x v="1"/>
    <n v="240"/>
    <s v="Islamabad"/>
  </r>
  <r>
    <s v="O014"/>
    <s v="C006"/>
    <s v="P04"/>
    <n v="1"/>
    <d v="2026-04-07T00:00:00"/>
    <x v="2"/>
    <x v="13"/>
    <x v="0"/>
    <n v="95"/>
    <x v="13"/>
    <x v="3"/>
    <x v="0"/>
    <n v="95"/>
    <s v="Karachi"/>
  </r>
  <r>
    <s v="O015"/>
    <s v="C033"/>
    <s v="P10"/>
    <n v="2"/>
    <d v="2026-04-08T00:00:00"/>
    <x v="0"/>
    <x v="14"/>
    <x v="2"/>
    <n v="40"/>
    <x v="14"/>
    <x v="0"/>
    <x v="0"/>
    <n v="80"/>
    <s v="Faisalabad"/>
  </r>
  <r>
    <s v="O016"/>
    <s v="C044"/>
    <s v="P07"/>
    <n v="2"/>
    <d v="2026-04-08T00:00:00"/>
    <x v="0"/>
    <x v="5"/>
    <x v="2"/>
    <n v="15"/>
    <x v="15"/>
    <x v="2"/>
    <x v="2"/>
    <n v="30"/>
    <s v="Karachi"/>
  </r>
  <r>
    <s v="O017"/>
    <s v="C011"/>
    <s v="P03"/>
    <n v="1"/>
    <d v="2026-04-09T00:00:00"/>
    <x v="0"/>
    <x v="2"/>
    <x v="0"/>
    <n v="12"/>
    <x v="16"/>
    <x v="1"/>
    <x v="2"/>
    <n v="12"/>
    <s v="Islamabad"/>
  </r>
  <r>
    <s v="O018"/>
    <s v="C028"/>
    <s v="P08"/>
    <n v="1"/>
    <d v="2026-04-09T00:00:00"/>
    <x v="0"/>
    <x v="3"/>
    <x v="2"/>
    <n v="35"/>
    <x v="17"/>
    <x v="2"/>
    <x v="1"/>
    <n v="35"/>
    <s v="Islamabad"/>
  </r>
  <r>
    <s v="O019"/>
    <s v="C002"/>
    <s v="P12"/>
    <n v="3"/>
    <d v="2026-04-10T00:00:00"/>
    <x v="0"/>
    <x v="1"/>
    <x v="1"/>
    <n v="150"/>
    <x v="18"/>
    <x v="3"/>
    <x v="2"/>
    <n v="450"/>
    <s v="Lahore"/>
  </r>
  <r>
    <s v="O020"/>
    <s v="C039"/>
    <s v="P05"/>
    <n v="2"/>
    <d v="2026-04-10T00:00:00"/>
    <x v="1"/>
    <x v="0"/>
    <x v="0"/>
    <n v="40"/>
    <x v="19"/>
    <x v="2"/>
    <x v="0"/>
    <n v="80"/>
    <s v="Rawalpindi"/>
  </r>
  <r>
    <s v="O021"/>
    <s v="C016"/>
    <s v="P11"/>
    <n v="2"/>
    <d v="2026-04-11T00:00:00"/>
    <x v="2"/>
    <x v="7"/>
    <x v="1"/>
    <n v="110"/>
    <x v="20"/>
    <x v="1"/>
    <x v="1"/>
    <n v="220"/>
    <s v="Karachi"/>
  </r>
  <r>
    <s v="O022"/>
    <s v="C031"/>
    <s v="P06"/>
    <n v="1"/>
    <d v="2026-04-11T00:00:00"/>
    <x v="0"/>
    <x v="8"/>
    <x v="2"/>
    <n v="30"/>
    <x v="21"/>
    <x v="4"/>
    <x v="1"/>
    <n v="30"/>
    <s v="Lahore"/>
  </r>
  <r>
    <s v="O023"/>
    <s v="C048"/>
    <s v="P14"/>
    <n v="4"/>
    <d v="2026-04-12T00:00:00"/>
    <x v="0"/>
    <x v="9"/>
    <x v="1"/>
    <n v="95"/>
    <x v="22"/>
    <x v="2"/>
    <x v="0"/>
    <n v="380"/>
    <s v="Rawalpindi"/>
  </r>
  <r>
    <s v="O024"/>
    <s v="C009"/>
    <s v="P02"/>
    <n v="1"/>
    <d v="2026-04-12T00:00:00"/>
    <x v="0"/>
    <x v="6"/>
    <x v="0"/>
    <n v="45"/>
    <x v="23"/>
    <x v="4"/>
    <x v="0"/>
    <n v="45"/>
    <s v="Lahore"/>
  </r>
  <r>
    <s v="O025"/>
    <s v="C025"/>
    <s v="P09"/>
    <n v="1"/>
    <d v="2026-04-13T00:00:00"/>
    <x v="1"/>
    <x v="11"/>
    <x v="2"/>
    <n v="25"/>
    <x v="24"/>
    <x v="2"/>
    <x v="1"/>
    <n v="25"/>
    <s v="Lahore"/>
  </r>
  <r>
    <s v="O026"/>
    <s v="C042"/>
    <s v="P13"/>
    <n v="2"/>
    <d v="2026-04-13T00:00:00"/>
    <x v="0"/>
    <x v="12"/>
    <x v="1"/>
    <n v="120"/>
    <x v="25"/>
    <x v="0"/>
    <x v="0"/>
    <n v="240"/>
    <s v="Islamabad"/>
  </r>
  <r>
    <s v="O027"/>
    <s v="C014"/>
    <s v="P04"/>
    <n v="3"/>
    <d v="2026-04-14T00:00:00"/>
    <x v="0"/>
    <x v="13"/>
    <x v="0"/>
    <n v="95"/>
    <x v="26"/>
    <x v="1"/>
    <x v="2"/>
    <n v="285"/>
    <s v="Karachi"/>
  </r>
  <r>
    <s v="O028"/>
    <s v="C036"/>
    <s v="P10"/>
    <n v="1"/>
    <d v="2026-04-14T00:00:00"/>
    <x v="0"/>
    <x v="14"/>
    <x v="2"/>
    <n v="40"/>
    <x v="27"/>
    <x v="3"/>
    <x v="0"/>
    <n v="40"/>
    <s v="Faisalabad"/>
  </r>
  <r>
    <s v="O029"/>
    <s v="C001"/>
    <s v="P15"/>
    <n v="1"/>
    <d v="2026-04-15T00:00:00"/>
    <x v="1"/>
    <x v="4"/>
    <x v="1"/>
    <n v="65"/>
    <x v="28"/>
    <x v="1"/>
    <x v="1"/>
    <n v="65"/>
    <s v="Karachi"/>
  </r>
  <r>
    <s v="O030"/>
    <s v="C027"/>
    <s v="P07"/>
    <n v="2"/>
    <d v="2026-04-15T00:00:00"/>
    <x v="0"/>
    <x v="5"/>
    <x v="2"/>
    <n v="15"/>
    <x v="29"/>
    <x v="3"/>
    <x v="0"/>
    <n v="30"/>
    <s v="Karachi"/>
  </r>
  <r>
    <s v="O031"/>
    <s v="C050"/>
    <s v="P01"/>
    <n v="2"/>
    <d v="2026-04-16T00:00:00"/>
    <x v="0"/>
    <x v="10"/>
    <x v="0"/>
    <n v="200"/>
    <x v="30"/>
    <x v="3"/>
    <x v="2"/>
    <n v="400"/>
    <s v="Karachi"/>
  </r>
  <r>
    <s v="O032"/>
    <s v="C013"/>
    <s v="P08"/>
    <n v="2"/>
    <d v="2026-04-16T00:00:00"/>
    <x v="0"/>
    <x v="3"/>
    <x v="2"/>
    <n v="35"/>
    <x v="31"/>
    <x v="2"/>
    <x v="1"/>
    <n v="70"/>
    <s v="Islamabad"/>
  </r>
  <r>
    <s v="O033"/>
    <s v="C038"/>
    <s v="P12"/>
    <n v="1"/>
    <d v="2026-04-17T00:00:00"/>
    <x v="0"/>
    <x v="1"/>
    <x v="1"/>
    <n v="150"/>
    <x v="32"/>
    <x v="4"/>
    <x v="2"/>
    <n v="150"/>
    <s v="Lahore"/>
  </r>
  <r>
    <s v="O034"/>
    <s v="C004"/>
    <s v="P03"/>
    <n v="3"/>
    <d v="2026-04-17T00:00:00"/>
    <x v="0"/>
    <x v="2"/>
    <x v="0"/>
    <n v="12"/>
    <x v="33"/>
    <x v="1"/>
    <x v="1"/>
    <n v="36"/>
    <s v="Islamabad"/>
  </r>
  <r>
    <s v="O035"/>
    <s v="C023"/>
    <s v="P06"/>
    <n v="1"/>
    <d v="2026-04-18T00:00:00"/>
    <x v="2"/>
    <x v="8"/>
    <x v="2"/>
    <n v="30"/>
    <x v="34"/>
    <x v="1"/>
    <x v="2"/>
    <n v="30"/>
    <s v="Lahore"/>
  </r>
  <r>
    <s v="O036"/>
    <s v="C046"/>
    <s v="P11"/>
    <n v="2"/>
    <d v="2026-04-18T00:00:00"/>
    <x v="0"/>
    <x v="7"/>
    <x v="1"/>
    <n v="110"/>
    <x v="35"/>
    <x v="3"/>
    <x v="1"/>
    <n v="220"/>
    <s v="Karachi"/>
  </r>
  <r>
    <s v="O037"/>
    <s v="C010"/>
    <s v="P14"/>
    <n v="1"/>
    <d v="2026-04-19T00:00:00"/>
    <x v="0"/>
    <x v="9"/>
    <x v="1"/>
    <n v="95"/>
    <x v="36"/>
    <x v="3"/>
    <x v="1"/>
    <n v="95"/>
    <s v="Rawalpindi"/>
  </r>
  <r>
    <s v="O038"/>
    <s v="C032"/>
    <s v="P05"/>
    <n v="3"/>
    <d v="2026-04-19T00:00:00"/>
    <x v="0"/>
    <x v="0"/>
    <x v="0"/>
    <n v="40"/>
    <x v="37"/>
    <x v="3"/>
    <x v="2"/>
    <n v="120"/>
    <s v="Rawalpindi"/>
  </r>
  <r>
    <s v="O039"/>
    <s v="C019"/>
    <s v="P09"/>
    <n v="2"/>
    <d v="2026-04-20T00:00:00"/>
    <x v="0"/>
    <x v="11"/>
    <x v="2"/>
    <n v="25"/>
    <x v="38"/>
    <x v="0"/>
    <x v="1"/>
    <n v="50"/>
    <s v="Lahore"/>
  </r>
  <r>
    <s v="O040"/>
    <s v="C043"/>
    <s v="P02"/>
    <n v="1"/>
    <d v="2026-04-20T00:00:00"/>
    <x v="1"/>
    <x v="6"/>
    <x v="0"/>
    <n v="45"/>
    <x v="39"/>
    <x v="3"/>
    <x v="1"/>
    <n v="45"/>
    <s v="Lahore"/>
  </r>
  <r>
    <s v="O041"/>
    <s v="C007"/>
    <s v="P13"/>
    <n v="2"/>
    <d v="2026-04-21T00:00:00"/>
    <x v="0"/>
    <x v="12"/>
    <x v="1"/>
    <n v="120"/>
    <x v="2"/>
    <x v="1"/>
    <x v="1"/>
    <n v="240"/>
    <s v="Islamabad"/>
  </r>
  <r>
    <s v="O042"/>
    <s v="C030"/>
    <s v="P04"/>
    <n v="1"/>
    <d v="2026-04-21T00:00:00"/>
    <x v="0"/>
    <x v="13"/>
    <x v="0"/>
    <n v="95"/>
    <x v="40"/>
    <x v="1"/>
    <x v="0"/>
    <n v="95"/>
    <s v="Karachi"/>
  </r>
  <r>
    <s v="O043"/>
    <s v="C047"/>
    <s v="P10"/>
    <n v="3"/>
    <d v="2026-04-22T00:00:00"/>
    <x v="0"/>
    <x v="14"/>
    <x v="2"/>
    <n v="40"/>
    <x v="41"/>
    <x v="0"/>
    <x v="2"/>
    <n v="120"/>
    <s v="Faisalabad"/>
  </r>
  <r>
    <s v="O044"/>
    <s v="C005"/>
    <s v="P07"/>
    <n v="1"/>
    <d v="2026-04-22T00:00:00"/>
    <x v="0"/>
    <x v="5"/>
    <x v="2"/>
    <n v="15"/>
    <x v="42"/>
    <x v="0"/>
    <x v="2"/>
    <n v="15"/>
    <s v="Karachi"/>
  </r>
  <r>
    <s v="O045"/>
    <s v="C024"/>
    <s v="P15"/>
    <n v="2"/>
    <d v="2026-04-23T00:00:00"/>
    <x v="0"/>
    <x v="4"/>
    <x v="1"/>
    <n v="65"/>
    <x v="43"/>
    <x v="0"/>
    <x v="0"/>
    <n v="130"/>
    <s v="Karachi"/>
  </r>
  <r>
    <s v="O046"/>
    <s v="C040"/>
    <s v="P08"/>
    <n v="1"/>
    <d v="2026-04-23T00:00:00"/>
    <x v="0"/>
    <x v="3"/>
    <x v="2"/>
    <n v="35"/>
    <x v="44"/>
    <x v="3"/>
    <x v="1"/>
    <n v="35"/>
    <s v="Islamabad"/>
  </r>
  <r>
    <s v="O047"/>
    <s v="C017"/>
    <s v="P03"/>
    <n v="2"/>
    <d v="2026-04-24T00:00:00"/>
    <x v="0"/>
    <x v="2"/>
    <x v="0"/>
    <n v="12"/>
    <x v="45"/>
    <x v="4"/>
    <x v="2"/>
    <n v="24"/>
    <s v="Islamabad"/>
  </r>
  <r>
    <s v="O048"/>
    <s v="C035"/>
    <s v="P06"/>
    <n v="4"/>
    <d v="2026-04-24T00:00:00"/>
    <x v="0"/>
    <x v="8"/>
    <x v="2"/>
    <n v="30"/>
    <x v="46"/>
    <x v="2"/>
    <x v="2"/>
    <n v="120"/>
    <s v="Lahore"/>
  </r>
  <r>
    <s v="O049"/>
    <s v="C026"/>
    <s v="P11"/>
    <n v="1"/>
    <d v="2026-04-25T00:00:00"/>
    <x v="1"/>
    <x v="7"/>
    <x v="1"/>
    <n v="110"/>
    <x v="47"/>
    <x v="1"/>
    <x v="2"/>
    <n v="110"/>
    <s v="Karachi"/>
  </r>
  <r>
    <s v="O050"/>
    <s v="C049"/>
    <s v="P14"/>
    <n v="2"/>
    <d v="2026-04-25T00:00:00"/>
    <x v="0"/>
    <x v="9"/>
    <x v="1"/>
    <n v="95"/>
    <x v="48"/>
    <x v="1"/>
    <x v="1"/>
    <n v="190"/>
    <s v="Rawalpindi"/>
  </r>
  <r>
    <s v="O051"/>
    <s v="C012"/>
    <s v="P02"/>
    <n v="3"/>
    <d v="2026-04-26T00:00:00"/>
    <x v="0"/>
    <x v="6"/>
    <x v="0"/>
    <n v="45"/>
    <x v="0"/>
    <x v="0"/>
    <x v="0"/>
    <n v="135"/>
    <s v="Lahore"/>
  </r>
  <r>
    <s v="O052"/>
    <s v="C034"/>
    <s v="P09"/>
    <n v="1"/>
    <d v="2026-04-26T00:00:00"/>
    <x v="0"/>
    <x v="11"/>
    <x v="2"/>
    <n v="25"/>
    <x v="1"/>
    <x v="1"/>
    <x v="1"/>
    <n v="25"/>
    <s v="Lahore"/>
  </r>
  <r>
    <s v="O053"/>
    <s v="C007"/>
    <s v="P13"/>
    <n v="2"/>
    <d v="2026-04-27T00:00:00"/>
    <x v="0"/>
    <x v="12"/>
    <x v="1"/>
    <n v="120"/>
    <x v="2"/>
    <x v="1"/>
    <x v="1"/>
    <n v="240"/>
    <s v="Islamabad"/>
  </r>
  <r>
    <s v="O054"/>
    <s v="C021"/>
    <s v="P05"/>
    <n v="1"/>
    <d v="2026-04-27T00:00:00"/>
    <x v="0"/>
    <x v="0"/>
    <x v="0"/>
    <n v="40"/>
    <x v="3"/>
    <x v="2"/>
    <x v="0"/>
    <n v="40"/>
    <s v="Rawalpindi"/>
  </r>
  <r>
    <s v="O055"/>
    <s v="C045"/>
    <s v="P10"/>
    <n v="3"/>
    <d v="2026-04-28T00:00:00"/>
    <x v="0"/>
    <x v="14"/>
    <x v="2"/>
    <n v="40"/>
    <x v="4"/>
    <x v="1"/>
    <x v="0"/>
    <n v="120"/>
    <s v="Faisalabad"/>
  </r>
  <r>
    <s v="O056"/>
    <s v="C003"/>
    <s v="P07"/>
    <n v="2"/>
    <d v="2026-04-28T00:00:00"/>
    <x v="0"/>
    <x v="5"/>
    <x v="2"/>
    <n v="15"/>
    <x v="5"/>
    <x v="2"/>
    <x v="0"/>
    <n v="30"/>
    <s v="Karachi"/>
  </r>
  <r>
    <s v="O057"/>
    <s v="C018"/>
    <s v="P04"/>
    <n v="1"/>
    <d v="2026-04-29T00:00:00"/>
    <x v="2"/>
    <x v="13"/>
    <x v="0"/>
    <n v="95"/>
    <x v="6"/>
    <x v="3"/>
    <x v="0"/>
    <n v="95"/>
    <s v="Karachi"/>
  </r>
  <r>
    <s v="O058"/>
    <s v="C029"/>
    <s v="P12"/>
    <n v="2"/>
    <d v="2026-04-29T00:00:00"/>
    <x v="0"/>
    <x v="1"/>
    <x v="1"/>
    <n v="150"/>
    <x v="7"/>
    <x v="3"/>
    <x v="2"/>
    <n v="300"/>
    <s v="Lahore"/>
  </r>
  <r>
    <s v="O059"/>
    <s v="C041"/>
    <s v="P08"/>
    <n v="1"/>
    <d v="2026-04-30T00:00:00"/>
    <x v="0"/>
    <x v="3"/>
    <x v="2"/>
    <n v="35"/>
    <x v="8"/>
    <x v="1"/>
    <x v="2"/>
    <n v="35"/>
    <s v="Islamabad"/>
  </r>
  <r>
    <s v="O060"/>
    <s v="C015"/>
    <s v="P03"/>
    <n v="3"/>
    <d v="2026-04-30T00:00:00"/>
    <x v="1"/>
    <x v="2"/>
    <x v="0"/>
    <n v="12"/>
    <x v="9"/>
    <x v="3"/>
    <x v="0"/>
    <n v="36"/>
    <s v="Islamabad"/>
  </r>
  <r>
    <s v="O061"/>
    <s v="C008"/>
    <s v="P11"/>
    <n v="2"/>
    <d v="2026-05-01T00:00:00"/>
    <x v="0"/>
    <x v="7"/>
    <x v="1"/>
    <n v="110"/>
    <x v="10"/>
    <x v="2"/>
    <x v="2"/>
    <n v="220"/>
    <s v="Karachi"/>
  </r>
  <r>
    <s v="O062"/>
    <s v="C037"/>
    <s v="P06"/>
    <n v="1"/>
    <d v="2026-05-01T00:00:00"/>
    <x v="0"/>
    <x v="8"/>
    <x v="2"/>
    <n v="30"/>
    <x v="11"/>
    <x v="1"/>
    <x v="1"/>
    <n v="30"/>
    <s v="Lahore"/>
  </r>
  <r>
    <s v="O063"/>
    <s v="C022"/>
    <s v="P14"/>
    <n v="2"/>
    <d v="2026-05-02T00:00:00"/>
    <x v="0"/>
    <x v="9"/>
    <x v="1"/>
    <n v="95"/>
    <x v="12"/>
    <x v="3"/>
    <x v="1"/>
    <n v="190"/>
    <s v="Rawalpindi"/>
  </r>
  <r>
    <s v="O064"/>
    <s v="C006"/>
    <s v="P09"/>
    <n v="1"/>
    <d v="2026-05-02T00:00:00"/>
    <x v="0"/>
    <x v="11"/>
    <x v="2"/>
    <n v="25"/>
    <x v="13"/>
    <x v="3"/>
    <x v="0"/>
    <n v="25"/>
    <s v="Lahore"/>
  </r>
  <r>
    <s v="O065"/>
    <s v="C033"/>
    <s v="P02"/>
    <n v="3"/>
    <d v="2026-05-03T00:00:00"/>
    <x v="0"/>
    <x v="6"/>
    <x v="0"/>
    <n v="45"/>
    <x v="14"/>
    <x v="0"/>
    <x v="0"/>
    <n v="135"/>
    <s v="Lahore"/>
  </r>
  <r>
    <s v="O066"/>
    <s v="C044"/>
    <s v="P13"/>
    <n v="1"/>
    <d v="2026-05-03T00:00:00"/>
    <x v="0"/>
    <x v="12"/>
    <x v="1"/>
    <n v="120"/>
    <x v="15"/>
    <x v="2"/>
    <x v="2"/>
    <n v="120"/>
    <s v="Islamabad"/>
  </r>
  <r>
    <s v="O067"/>
    <s v="C011"/>
    <s v="P05"/>
    <n v="2"/>
    <d v="2026-05-04T00:00:00"/>
    <x v="0"/>
    <x v="0"/>
    <x v="0"/>
    <n v="40"/>
    <x v="16"/>
    <x v="1"/>
    <x v="2"/>
    <n v="80"/>
    <s v="Rawalpindi"/>
  </r>
  <r>
    <s v="O068"/>
    <s v="C028"/>
    <s v="P10"/>
    <n v="1"/>
    <d v="2026-05-04T00:00:00"/>
    <x v="1"/>
    <x v="14"/>
    <x v="2"/>
    <n v="40"/>
    <x v="17"/>
    <x v="2"/>
    <x v="1"/>
    <n v="40"/>
    <s v="Faisalabad"/>
  </r>
  <r>
    <s v="O069"/>
    <s v="C002"/>
    <s v="P07"/>
    <n v="4"/>
    <d v="2026-05-05T00:00:00"/>
    <x v="0"/>
    <x v="5"/>
    <x v="2"/>
    <n v="15"/>
    <x v="18"/>
    <x v="3"/>
    <x v="2"/>
    <n v="60"/>
    <s v="Karachi"/>
  </r>
  <r>
    <s v="O070"/>
    <s v="C039"/>
    <s v="P04"/>
    <n v="1"/>
    <d v="2026-05-05T00:00:00"/>
    <x v="0"/>
    <x v="13"/>
    <x v="0"/>
    <n v="95"/>
    <x v="19"/>
    <x v="2"/>
    <x v="0"/>
    <n v="95"/>
    <s v="Karachi"/>
  </r>
  <r>
    <s v="O071"/>
    <s v="C016"/>
    <s v="P08"/>
    <n v="2"/>
    <d v="2026-05-06T00:00:00"/>
    <x v="0"/>
    <x v="3"/>
    <x v="2"/>
    <n v="35"/>
    <x v="20"/>
    <x v="1"/>
    <x v="1"/>
    <n v="70"/>
    <s v="Islamabad"/>
  </r>
  <r>
    <s v="O072"/>
    <s v="C031"/>
    <s v="P12"/>
    <n v="1"/>
    <d v="2026-05-06T00:00:00"/>
    <x v="0"/>
    <x v="1"/>
    <x v="1"/>
    <n v="150"/>
    <x v="21"/>
    <x v="4"/>
    <x v="1"/>
    <n v="150"/>
    <s v="Lahore"/>
  </r>
  <r>
    <s v="O073"/>
    <s v="C048"/>
    <s v="P03"/>
    <n v="3"/>
    <d v="2026-05-07T00:00:00"/>
    <x v="0"/>
    <x v="2"/>
    <x v="0"/>
    <n v="12"/>
    <x v="22"/>
    <x v="2"/>
    <x v="0"/>
    <n v="36"/>
    <s v="Islamabad"/>
  </r>
  <r>
    <s v="O074"/>
    <s v="C009"/>
    <s v="P11"/>
    <n v="2"/>
    <d v="2026-05-07T00:00:00"/>
    <x v="0"/>
    <x v="7"/>
    <x v="1"/>
    <n v="110"/>
    <x v="23"/>
    <x v="4"/>
    <x v="0"/>
    <n v="220"/>
    <s v="Karachi"/>
  </r>
  <r>
    <s v="O075"/>
    <s v="C025"/>
    <s v="P06"/>
    <n v="1"/>
    <d v="2026-05-08T00:00:00"/>
    <x v="2"/>
    <x v="8"/>
    <x v="2"/>
    <n v="30"/>
    <x v="24"/>
    <x v="2"/>
    <x v="1"/>
    <n v="30"/>
    <s v="Lahore"/>
  </r>
  <r>
    <s v="O076"/>
    <s v="C042"/>
    <s v="P14"/>
    <n v="2"/>
    <d v="2026-05-08T00:00:00"/>
    <x v="0"/>
    <x v="9"/>
    <x v="1"/>
    <n v="95"/>
    <x v="25"/>
    <x v="0"/>
    <x v="0"/>
    <n v="190"/>
    <s v="Rawalpindi"/>
  </r>
  <r>
    <s v="O077"/>
    <s v="C014"/>
    <s v="P09"/>
    <n v="1"/>
    <d v="2026-05-09T00:00:00"/>
    <x v="0"/>
    <x v="11"/>
    <x v="2"/>
    <n v="25"/>
    <x v="26"/>
    <x v="1"/>
    <x v="2"/>
    <n v="25"/>
    <s v="Lahore"/>
  </r>
  <r>
    <s v="O078"/>
    <s v="C036"/>
    <s v="P02"/>
    <n v="3"/>
    <d v="2026-05-09T00:00:00"/>
    <x v="0"/>
    <x v="6"/>
    <x v="0"/>
    <n v="45"/>
    <x v="27"/>
    <x v="3"/>
    <x v="0"/>
    <n v="135"/>
    <s v="Lahore"/>
  </r>
  <r>
    <s v="O079"/>
    <s v="C001"/>
    <s v="P13"/>
    <n v="2"/>
    <d v="2026-05-10T00:00:00"/>
    <x v="0"/>
    <x v="12"/>
    <x v="1"/>
    <n v="120"/>
    <x v="28"/>
    <x v="1"/>
    <x v="1"/>
    <n v="240"/>
    <s v="Islamabad"/>
  </r>
  <r>
    <s v="O080"/>
    <s v="C027"/>
    <s v="P05"/>
    <n v="1"/>
    <d v="2026-05-10T00:00:00"/>
    <x v="1"/>
    <x v="0"/>
    <x v="0"/>
    <n v="40"/>
    <x v="29"/>
    <x v="3"/>
    <x v="0"/>
    <n v="40"/>
    <s v="Rawalpindi"/>
  </r>
  <r>
    <s v="O081"/>
    <s v="C050"/>
    <s v="P10"/>
    <n v="2"/>
    <d v="2026-05-11T00:00:00"/>
    <x v="0"/>
    <x v="14"/>
    <x v="2"/>
    <n v="40"/>
    <x v="30"/>
    <x v="3"/>
    <x v="2"/>
    <n v="80"/>
    <s v="Faisalabad"/>
  </r>
  <r>
    <s v="O082"/>
    <s v="C013"/>
    <s v="P07"/>
    <n v="1"/>
    <d v="2026-05-11T00:00:00"/>
    <x v="0"/>
    <x v="5"/>
    <x v="2"/>
    <n v="15"/>
    <x v="31"/>
    <x v="2"/>
    <x v="1"/>
    <n v="15"/>
    <s v="Karachi"/>
  </r>
  <r>
    <s v="O083"/>
    <s v="C038"/>
    <s v="P04"/>
    <n v="3"/>
    <d v="2026-05-12T00:00:00"/>
    <x v="0"/>
    <x v="13"/>
    <x v="0"/>
    <n v="95"/>
    <x v="32"/>
    <x v="4"/>
    <x v="2"/>
    <n v="285"/>
    <s v="Karachi"/>
  </r>
  <r>
    <s v="O084"/>
    <s v="C004"/>
    <s v="P08"/>
    <n v="1"/>
    <d v="2026-05-12T00:00:00"/>
    <x v="0"/>
    <x v="3"/>
    <x v="2"/>
    <n v="35"/>
    <x v="33"/>
    <x v="1"/>
    <x v="1"/>
    <n v="35"/>
    <s v="Islamabad"/>
  </r>
  <r>
    <s v="O085"/>
    <s v="C023"/>
    <s v="P12"/>
    <n v="2"/>
    <d v="2026-05-13T00:00:00"/>
    <x v="0"/>
    <x v="1"/>
    <x v="1"/>
    <n v="150"/>
    <x v="34"/>
    <x v="1"/>
    <x v="2"/>
    <n v="300"/>
    <s v="Lahore"/>
  </r>
  <r>
    <s v="O086"/>
    <s v="C046"/>
    <s v="P03"/>
    <n v="1"/>
    <d v="2026-05-13T00:00:00"/>
    <x v="0"/>
    <x v="2"/>
    <x v="0"/>
    <n v="12"/>
    <x v="35"/>
    <x v="3"/>
    <x v="1"/>
    <n v="12"/>
    <s v="Islamabad"/>
  </r>
  <r>
    <s v="O087"/>
    <s v="C010"/>
    <s v="P11"/>
    <n v="2"/>
    <d v="2026-05-14T00:00:00"/>
    <x v="0"/>
    <x v="7"/>
    <x v="1"/>
    <n v="110"/>
    <x v="36"/>
    <x v="3"/>
    <x v="1"/>
    <n v="220"/>
    <s v="Karachi"/>
  </r>
  <r>
    <s v="O088"/>
    <s v="C032"/>
    <s v="P06"/>
    <n v="3"/>
    <d v="2026-05-14T00:00:00"/>
    <x v="0"/>
    <x v="8"/>
    <x v="2"/>
    <n v="30"/>
    <x v="37"/>
    <x v="3"/>
    <x v="2"/>
    <n v="90"/>
    <s v="Lahore"/>
  </r>
  <r>
    <s v="O089"/>
    <s v="C019"/>
    <s v="P14"/>
    <n v="1"/>
    <d v="2026-05-15T00:00:00"/>
    <x v="1"/>
    <x v="9"/>
    <x v="1"/>
    <n v="95"/>
    <x v="38"/>
    <x v="0"/>
    <x v="1"/>
    <n v="95"/>
    <s v="Rawalpindi"/>
  </r>
  <r>
    <s v="O090"/>
    <s v="C043"/>
    <s v="P09"/>
    <n v="2"/>
    <d v="2026-05-15T00:00:00"/>
    <x v="0"/>
    <x v="11"/>
    <x v="2"/>
    <n v="25"/>
    <x v="39"/>
    <x v="3"/>
    <x v="1"/>
    <n v="50"/>
    <s v="Lahore"/>
  </r>
  <r>
    <s v="O091"/>
    <s v="C007"/>
    <s v="P02"/>
    <n v="1"/>
    <d v="2026-05-16T00:00:00"/>
    <x v="0"/>
    <x v="6"/>
    <x v="0"/>
    <n v="45"/>
    <x v="2"/>
    <x v="1"/>
    <x v="1"/>
    <n v="45"/>
    <s v="Lahore"/>
  </r>
  <r>
    <s v="O092"/>
    <s v="C030"/>
    <s v="P13"/>
    <n v="3"/>
    <d v="2026-05-16T00:00:00"/>
    <x v="0"/>
    <x v="12"/>
    <x v="1"/>
    <n v="120"/>
    <x v="40"/>
    <x v="1"/>
    <x v="0"/>
    <n v="360"/>
    <s v="Islamabad"/>
  </r>
  <r>
    <s v="O093"/>
    <s v="C047"/>
    <s v="P05"/>
    <n v="2"/>
    <d v="2026-05-17T00:00:00"/>
    <x v="0"/>
    <x v="0"/>
    <x v="0"/>
    <n v="40"/>
    <x v="41"/>
    <x v="0"/>
    <x v="2"/>
    <n v="80"/>
    <s v="Rawalpindi"/>
  </r>
  <r>
    <s v="O094"/>
    <s v="C005"/>
    <s v="P10"/>
    <n v="1"/>
    <d v="2026-05-17T00:00:00"/>
    <x v="0"/>
    <x v="14"/>
    <x v="2"/>
    <n v="40"/>
    <x v="42"/>
    <x v="0"/>
    <x v="2"/>
    <n v="40"/>
    <s v="Faisalabad"/>
  </r>
  <r>
    <s v="O095"/>
    <s v="C024"/>
    <s v="P07"/>
    <n v="4"/>
    <d v="2026-05-18T00:00:00"/>
    <x v="0"/>
    <x v="5"/>
    <x v="2"/>
    <n v="15"/>
    <x v="43"/>
    <x v="0"/>
    <x v="0"/>
    <n v="60"/>
    <s v="Karachi"/>
  </r>
  <r>
    <s v="O096"/>
    <s v="C040"/>
    <s v="P04"/>
    <n v="1"/>
    <d v="2026-05-18T00:00:00"/>
    <x v="0"/>
    <x v="13"/>
    <x v="0"/>
    <n v="95"/>
    <x v="44"/>
    <x v="3"/>
    <x v="1"/>
    <n v="95"/>
    <s v="Karachi"/>
  </r>
  <r>
    <s v="O097"/>
    <s v="C017"/>
    <s v="P08"/>
    <n v="2"/>
    <d v="2026-05-19T00:00:00"/>
    <x v="0"/>
    <x v="3"/>
    <x v="2"/>
    <n v="35"/>
    <x v="45"/>
    <x v="4"/>
    <x v="2"/>
    <n v="70"/>
    <s v="Islamabad"/>
  </r>
  <r>
    <s v="O098"/>
    <s v="C035"/>
    <s v="P12"/>
    <n v="1"/>
    <d v="2026-05-19T00:00:00"/>
    <x v="0"/>
    <x v="1"/>
    <x v="1"/>
    <n v="150"/>
    <x v="46"/>
    <x v="2"/>
    <x v="2"/>
    <n v="150"/>
    <s v="Lahore"/>
  </r>
  <r>
    <s v="O099"/>
    <s v="C026"/>
    <s v="P03"/>
    <n v="3"/>
    <d v="2026-05-20T00:00:00"/>
    <x v="0"/>
    <x v="2"/>
    <x v="0"/>
    <n v="12"/>
    <x v="47"/>
    <x v="1"/>
    <x v="2"/>
    <n v="36"/>
    <s v="Islamabad"/>
  </r>
  <r>
    <s v="O100"/>
    <s v="C049"/>
    <s v="P11"/>
    <n v="2"/>
    <d v="2026-05-20T00:00:00"/>
    <x v="0"/>
    <x v="7"/>
    <x v="1"/>
    <n v="110"/>
    <x v="48"/>
    <x v="1"/>
    <x v="1"/>
    <n v="220"/>
    <s v="Karachi"/>
  </r>
  <r>
    <s v="O101"/>
    <s v="C012"/>
    <s v="P06"/>
    <n v="1"/>
    <d v="2026-05-21T00:00:00"/>
    <x v="0"/>
    <x v="8"/>
    <x v="2"/>
    <n v="30"/>
    <x v="0"/>
    <x v="0"/>
    <x v="0"/>
    <n v="30"/>
    <s v="Lahore"/>
  </r>
  <r>
    <s v="O102"/>
    <s v="C034"/>
    <s v="P14"/>
    <n v="2"/>
    <d v="2026-05-21T00:00:00"/>
    <x v="1"/>
    <x v="9"/>
    <x v="1"/>
    <n v="95"/>
    <x v="1"/>
    <x v="1"/>
    <x v="1"/>
    <n v="190"/>
    <s v="Rawalpindi"/>
  </r>
  <r>
    <s v="O103"/>
    <s v="C007"/>
    <s v="P09"/>
    <n v="3"/>
    <d v="2026-05-22T00:00:00"/>
    <x v="0"/>
    <x v="11"/>
    <x v="2"/>
    <n v="25"/>
    <x v="2"/>
    <x v="1"/>
    <x v="1"/>
    <n v="75"/>
    <s v="Lahore"/>
  </r>
  <r>
    <s v="O104"/>
    <s v="C021"/>
    <s v="P02"/>
    <n v="1"/>
    <d v="2026-05-22T00:00:00"/>
    <x v="0"/>
    <x v="6"/>
    <x v="0"/>
    <n v="45"/>
    <x v="3"/>
    <x v="2"/>
    <x v="0"/>
    <n v="45"/>
    <s v="Lahore"/>
  </r>
  <r>
    <s v="O105"/>
    <s v="C045"/>
    <s v="P13"/>
    <n v="2"/>
    <d v="2026-05-23T00:00:00"/>
    <x v="0"/>
    <x v="12"/>
    <x v="1"/>
    <n v="120"/>
    <x v="4"/>
    <x v="1"/>
    <x v="0"/>
    <n v="240"/>
    <s v="Islamabad"/>
  </r>
  <r>
    <s v="O106"/>
    <s v="C003"/>
    <s v="P05"/>
    <n v="1"/>
    <d v="2026-05-23T00:00:00"/>
    <x v="2"/>
    <x v="0"/>
    <x v="0"/>
    <n v="40"/>
    <x v="5"/>
    <x v="2"/>
    <x v="0"/>
    <n v="40"/>
    <s v="Rawalpindi"/>
  </r>
  <r>
    <s v="O107"/>
    <s v="C018"/>
    <s v="P10"/>
    <n v="3"/>
    <d v="2026-05-24T00:00:00"/>
    <x v="0"/>
    <x v="14"/>
    <x v="2"/>
    <n v="40"/>
    <x v="6"/>
    <x v="3"/>
    <x v="0"/>
    <n v="120"/>
    <s v="Faisalabad"/>
  </r>
  <r>
    <s v="O108"/>
    <s v="C029"/>
    <s v="P07"/>
    <n v="2"/>
    <d v="2026-05-24T00:00:00"/>
    <x v="0"/>
    <x v="5"/>
    <x v="2"/>
    <n v="15"/>
    <x v="7"/>
    <x v="3"/>
    <x v="2"/>
    <n v="30"/>
    <s v="Karachi"/>
  </r>
  <r>
    <s v="O109"/>
    <s v="C041"/>
    <s v="P04"/>
    <n v="1"/>
    <d v="2026-05-25T00:00:00"/>
    <x v="0"/>
    <x v="13"/>
    <x v="0"/>
    <n v="95"/>
    <x v="8"/>
    <x v="1"/>
    <x v="2"/>
    <n v="95"/>
    <s v="Karachi"/>
  </r>
  <r>
    <s v="O110"/>
    <s v="C015"/>
    <s v="P08"/>
    <n v="4"/>
    <d v="2026-05-25T00:00:00"/>
    <x v="0"/>
    <x v="3"/>
    <x v="2"/>
    <n v="35"/>
    <x v="9"/>
    <x v="3"/>
    <x v="0"/>
    <n v="140"/>
    <s v="Islamabad"/>
  </r>
  <r>
    <s v="O111"/>
    <s v="C008"/>
    <s v="P12"/>
    <n v="1"/>
    <d v="2026-05-26T00:00:00"/>
    <x v="0"/>
    <x v="1"/>
    <x v="1"/>
    <n v="150"/>
    <x v="10"/>
    <x v="2"/>
    <x v="2"/>
    <n v="150"/>
    <s v="Lahore"/>
  </r>
  <r>
    <s v="O112"/>
    <s v="C037"/>
    <s v="P03"/>
    <n v="2"/>
    <d v="2026-05-26T00:00:00"/>
    <x v="0"/>
    <x v="2"/>
    <x v="0"/>
    <n v="12"/>
    <x v="11"/>
    <x v="1"/>
    <x v="1"/>
    <n v="24"/>
    <s v="Islamabad"/>
  </r>
  <r>
    <s v="O113"/>
    <s v="C022"/>
    <s v="P11"/>
    <n v="1"/>
    <d v="2026-05-27T00:00:00"/>
    <x v="0"/>
    <x v="7"/>
    <x v="1"/>
    <n v="110"/>
    <x v="12"/>
    <x v="3"/>
    <x v="1"/>
    <n v="110"/>
    <s v="Karachi"/>
  </r>
  <r>
    <s v="O114"/>
    <s v="C006"/>
    <s v="P06"/>
    <n v="3"/>
    <d v="2026-05-27T00:00:00"/>
    <x v="0"/>
    <x v="8"/>
    <x v="2"/>
    <n v="30"/>
    <x v="13"/>
    <x v="3"/>
    <x v="0"/>
    <n v="90"/>
    <s v="Lahore"/>
  </r>
  <r>
    <s v="O115"/>
    <s v="C033"/>
    <s v="P14"/>
    <n v="2"/>
    <d v="2026-05-28T00:00:00"/>
    <x v="1"/>
    <x v="9"/>
    <x v="1"/>
    <n v="95"/>
    <x v="14"/>
    <x v="0"/>
    <x v="0"/>
    <n v="190"/>
    <s v="Rawalpindi"/>
  </r>
  <r>
    <s v="O116"/>
    <s v="C044"/>
    <s v="P09"/>
    <n v="1"/>
    <d v="2026-05-28T00:00:00"/>
    <x v="0"/>
    <x v="11"/>
    <x v="2"/>
    <n v="25"/>
    <x v="15"/>
    <x v="2"/>
    <x v="2"/>
    <n v="25"/>
    <s v="Lahore"/>
  </r>
  <r>
    <s v="O117"/>
    <s v="C011"/>
    <s v="P02"/>
    <n v="2"/>
    <d v="2026-05-29T00:00:00"/>
    <x v="0"/>
    <x v="6"/>
    <x v="0"/>
    <n v="45"/>
    <x v="16"/>
    <x v="1"/>
    <x v="2"/>
    <n v="90"/>
    <s v="Lahore"/>
  </r>
  <r>
    <s v="O118"/>
    <s v="C028"/>
    <s v="P13"/>
    <n v="1"/>
    <d v="2026-05-29T00:00:00"/>
    <x v="0"/>
    <x v="12"/>
    <x v="1"/>
    <n v="120"/>
    <x v="17"/>
    <x v="2"/>
    <x v="1"/>
    <n v="120"/>
    <s v="Islamabad"/>
  </r>
  <r>
    <s v="O119"/>
    <s v="C002"/>
    <s v="P05"/>
    <n v="3"/>
    <d v="2026-05-30T00:00:00"/>
    <x v="0"/>
    <x v="0"/>
    <x v="0"/>
    <n v="40"/>
    <x v="18"/>
    <x v="3"/>
    <x v="2"/>
    <n v="120"/>
    <s v="Rawalpindi"/>
  </r>
  <r>
    <s v="O120"/>
    <s v="C039"/>
    <s v="P10"/>
    <n v="2"/>
    <d v="2026-05-30T00:00:00"/>
    <x v="0"/>
    <x v="14"/>
    <x v="2"/>
    <n v="40"/>
    <x v="19"/>
    <x v="2"/>
    <x v="0"/>
    <n v="80"/>
    <s v="Faisalabad"/>
  </r>
  <r>
    <s v="O121"/>
    <s v="C016"/>
    <s v="P07"/>
    <n v="1"/>
    <d v="2026-05-31T00:00:00"/>
    <x v="0"/>
    <x v="5"/>
    <x v="2"/>
    <n v="15"/>
    <x v="20"/>
    <x v="1"/>
    <x v="1"/>
    <n v="15"/>
    <s v="Karachi"/>
  </r>
  <r>
    <s v="O122"/>
    <s v="C031"/>
    <s v="P04"/>
    <n v="2"/>
    <d v="2026-05-31T00:00:00"/>
    <x v="0"/>
    <x v="13"/>
    <x v="0"/>
    <n v="95"/>
    <x v="21"/>
    <x v="4"/>
    <x v="1"/>
    <n v="190"/>
    <s v="Karachi"/>
  </r>
  <r>
    <s v="O123"/>
    <s v="C048"/>
    <s v="P08"/>
    <n v="3"/>
    <d v="2026-06-01T00:00:00"/>
    <x v="0"/>
    <x v="3"/>
    <x v="2"/>
    <n v="35"/>
    <x v="22"/>
    <x v="2"/>
    <x v="0"/>
    <n v="105"/>
    <s v="Islamabad"/>
  </r>
  <r>
    <s v="O124"/>
    <s v="C009"/>
    <s v="P12"/>
    <n v="1"/>
    <d v="2026-06-01T00:00:00"/>
    <x v="0"/>
    <x v="1"/>
    <x v="1"/>
    <n v="150"/>
    <x v="23"/>
    <x v="4"/>
    <x v="0"/>
    <n v="150"/>
    <s v="Lahore"/>
  </r>
  <r>
    <s v="O125"/>
    <s v="C025"/>
    <s v="P03"/>
    <n v="2"/>
    <d v="2026-06-02T00:00:00"/>
    <x v="1"/>
    <x v="2"/>
    <x v="0"/>
    <n v="12"/>
    <x v="24"/>
    <x v="2"/>
    <x v="1"/>
    <n v="24"/>
    <s v="Islamabad"/>
  </r>
  <r>
    <s v="O126"/>
    <s v="C042"/>
    <s v="P11"/>
    <n v="1"/>
    <d v="2026-06-02T00:00:00"/>
    <x v="0"/>
    <x v="7"/>
    <x v="1"/>
    <n v="110"/>
    <x v="25"/>
    <x v="0"/>
    <x v="0"/>
    <n v="110"/>
    <s v="Karachi"/>
  </r>
  <r>
    <s v="O127"/>
    <s v="C014"/>
    <s v="P06"/>
    <n v="3"/>
    <d v="2026-06-03T00:00:00"/>
    <x v="0"/>
    <x v="8"/>
    <x v="2"/>
    <n v="30"/>
    <x v="26"/>
    <x v="1"/>
    <x v="2"/>
    <n v="90"/>
    <s v="Lahore"/>
  </r>
  <r>
    <s v="O128"/>
    <s v="C036"/>
    <s v="P14"/>
    <n v="2"/>
    <d v="2026-06-03T00:00:00"/>
    <x v="0"/>
    <x v="9"/>
    <x v="1"/>
    <n v="95"/>
    <x v="27"/>
    <x v="3"/>
    <x v="0"/>
    <n v="190"/>
    <s v="Rawalpindi"/>
  </r>
  <r>
    <s v="O129"/>
    <s v="C001"/>
    <s v="P09"/>
    <n v="1"/>
    <d v="2026-06-04T00:00:00"/>
    <x v="0"/>
    <x v="11"/>
    <x v="2"/>
    <n v="25"/>
    <x v="28"/>
    <x v="1"/>
    <x v="1"/>
    <n v="25"/>
    <s v="Lahore"/>
  </r>
  <r>
    <s v="O130"/>
    <s v="C027"/>
    <s v="P02"/>
    <n v="4"/>
    <d v="2026-06-04T00:00:00"/>
    <x v="0"/>
    <x v="6"/>
    <x v="0"/>
    <n v="45"/>
    <x v="29"/>
    <x v="3"/>
    <x v="0"/>
    <n v="180"/>
    <s v="Lahore"/>
  </r>
  <r>
    <s v="O131"/>
    <s v="C050"/>
    <s v="P13"/>
    <n v="1"/>
    <d v="2026-06-05T00:00:00"/>
    <x v="0"/>
    <x v="12"/>
    <x v="1"/>
    <n v="120"/>
    <x v="30"/>
    <x v="3"/>
    <x v="2"/>
    <n v="120"/>
    <s v="Islamabad"/>
  </r>
  <r>
    <s v="O132"/>
    <s v="C013"/>
    <s v="P05"/>
    <n v="2"/>
    <d v="2026-06-05T00:00:00"/>
    <x v="0"/>
    <x v="0"/>
    <x v="0"/>
    <n v="40"/>
    <x v="31"/>
    <x v="2"/>
    <x v="1"/>
    <n v="80"/>
    <s v="Rawalpindi"/>
  </r>
  <r>
    <s v="O133"/>
    <s v="C038"/>
    <s v="P10"/>
    <n v="3"/>
    <d v="2026-06-06T00:00:00"/>
    <x v="0"/>
    <x v="14"/>
    <x v="2"/>
    <n v="40"/>
    <x v="32"/>
    <x v="4"/>
    <x v="2"/>
    <n v="120"/>
    <s v="Faisalabad"/>
  </r>
  <r>
    <s v="O134"/>
    <s v="C004"/>
    <s v="P07"/>
    <n v="1"/>
    <d v="2026-06-06T00:00:00"/>
    <x v="1"/>
    <x v="5"/>
    <x v="2"/>
    <n v="15"/>
    <x v="33"/>
    <x v="1"/>
    <x v="1"/>
    <n v="15"/>
    <s v="Karachi"/>
  </r>
  <r>
    <s v="O135"/>
    <s v="C023"/>
    <s v="P04"/>
    <n v="2"/>
    <d v="2026-06-07T00:00:00"/>
    <x v="0"/>
    <x v="13"/>
    <x v="0"/>
    <n v="95"/>
    <x v="34"/>
    <x v="1"/>
    <x v="2"/>
    <n v="190"/>
    <s v="Karachi"/>
  </r>
  <r>
    <s v="O136"/>
    <s v="C046"/>
    <s v="P08"/>
    <n v="1"/>
    <d v="2026-06-07T00:00:00"/>
    <x v="0"/>
    <x v="3"/>
    <x v="2"/>
    <n v="35"/>
    <x v="35"/>
    <x v="3"/>
    <x v="1"/>
    <n v="35"/>
    <s v="Islamabad"/>
  </r>
  <r>
    <s v="O137"/>
    <s v="C010"/>
    <s v="P12"/>
    <n v="3"/>
    <d v="2026-06-08T00:00:00"/>
    <x v="0"/>
    <x v="1"/>
    <x v="1"/>
    <n v="150"/>
    <x v="36"/>
    <x v="3"/>
    <x v="1"/>
    <n v="450"/>
    <s v="Lahore"/>
  </r>
  <r>
    <s v="O138"/>
    <s v="C032"/>
    <s v="P03"/>
    <n v="2"/>
    <d v="2026-06-08T00:00:00"/>
    <x v="0"/>
    <x v="2"/>
    <x v="0"/>
    <n v="12"/>
    <x v="37"/>
    <x v="3"/>
    <x v="2"/>
    <n v="24"/>
    <s v="Islamabad"/>
  </r>
  <r>
    <s v="O139"/>
    <s v="C019"/>
    <s v="P11"/>
    <n v="1"/>
    <d v="2026-06-09T00:00:00"/>
    <x v="0"/>
    <x v="7"/>
    <x v="1"/>
    <n v="110"/>
    <x v="38"/>
    <x v="0"/>
    <x v="1"/>
    <n v="110"/>
    <s v="Karachi"/>
  </r>
  <r>
    <s v="O140"/>
    <s v="C043"/>
    <s v="P06"/>
    <n v="4"/>
    <d v="2026-06-09T00:00:00"/>
    <x v="0"/>
    <x v="8"/>
    <x v="2"/>
    <n v="30"/>
    <x v="39"/>
    <x v="3"/>
    <x v="1"/>
    <n v="120"/>
    <s v="Lahore"/>
  </r>
  <r>
    <s v="O141"/>
    <s v="C007"/>
    <s v="P14"/>
    <n v="2"/>
    <d v="2026-06-10T00:00:00"/>
    <x v="0"/>
    <x v="9"/>
    <x v="1"/>
    <n v="95"/>
    <x v="2"/>
    <x v="1"/>
    <x v="1"/>
    <n v="190"/>
    <s v="Rawalpindi"/>
  </r>
  <r>
    <s v="O142"/>
    <s v="C030"/>
    <s v="P09"/>
    <n v="1"/>
    <d v="2026-06-10T00:00:00"/>
    <x v="0"/>
    <x v="11"/>
    <x v="2"/>
    <n v="25"/>
    <x v="40"/>
    <x v="1"/>
    <x v="0"/>
    <n v="25"/>
    <s v="Lahore"/>
  </r>
  <r>
    <s v="O143"/>
    <s v="C047"/>
    <s v="P02"/>
    <n v="3"/>
    <d v="2026-06-11T00:00:00"/>
    <x v="0"/>
    <x v="6"/>
    <x v="0"/>
    <n v="45"/>
    <x v="41"/>
    <x v="0"/>
    <x v="2"/>
    <n v="135"/>
    <s v="Lahore"/>
  </r>
  <r>
    <s v="O144"/>
    <s v="C005"/>
    <s v="P13"/>
    <n v="1"/>
    <d v="2026-06-11T00:00:00"/>
    <x v="2"/>
    <x v="12"/>
    <x v="1"/>
    <n v="120"/>
    <x v="42"/>
    <x v="0"/>
    <x v="2"/>
    <n v="120"/>
    <s v="Islamabad"/>
  </r>
  <r>
    <s v="O145"/>
    <s v="C024"/>
    <s v="P05"/>
    <n v="2"/>
    <d v="2026-06-12T00:00:00"/>
    <x v="0"/>
    <x v="0"/>
    <x v="0"/>
    <n v="40"/>
    <x v="43"/>
    <x v="0"/>
    <x v="0"/>
    <n v="80"/>
    <s v="Rawalpindi"/>
  </r>
  <r>
    <s v="O146"/>
    <s v="C040"/>
    <s v="P10"/>
    <n v="1"/>
    <d v="2026-06-12T00:00:00"/>
    <x v="0"/>
    <x v="14"/>
    <x v="2"/>
    <n v="40"/>
    <x v="44"/>
    <x v="3"/>
    <x v="1"/>
    <n v="40"/>
    <s v="Faisalabad"/>
  </r>
  <r>
    <s v="O147"/>
    <s v="C017"/>
    <s v="P07"/>
    <n v="3"/>
    <d v="2026-06-13T00:00:00"/>
    <x v="0"/>
    <x v="5"/>
    <x v="2"/>
    <n v="15"/>
    <x v="45"/>
    <x v="4"/>
    <x v="2"/>
    <n v="45"/>
    <s v="Karachi"/>
  </r>
  <r>
    <s v="O148"/>
    <s v="C035"/>
    <s v="P04"/>
    <n v="2"/>
    <d v="2026-06-13T00:00:00"/>
    <x v="0"/>
    <x v="13"/>
    <x v="0"/>
    <n v="95"/>
    <x v="46"/>
    <x v="2"/>
    <x v="2"/>
    <n v="190"/>
    <s v="Karachi"/>
  </r>
  <r>
    <s v="O149"/>
    <s v="C026"/>
    <s v="P08"/>
    <n v="1"/>
    <d v="2026-06-14T00:00:00"/>
    <x v="0"/>
    <x v="3"/>
    <x v="2"/>
    <n v="35"/>
    <x v="47"/>
    <x v="1"/>
    <x v="2"/>
    <n v="35"/>
    <s v="Islamabad"/>
  </r>
  <r>
    <s v="O150"/>
    <s v="C049"/>
    <s v="P12"/>
    <n v="4"/>
    <d v="2026-06-14T00:00:00"/>
    <x v="0"/>
    <x v="1"/>
    <x v="1"/>
    <n v="150"/>
    <x v="48"/>
    <x v="1"/>
    <x v="1"/>
    <n v="600"/>
    <s v="Lahore"/>
  </r>
  <r>
    <s v="O151"/>
    <s v="C012"/>
    <s v="P03"/>
    <n v="2"/>
    <d v="2026-06-15T00:00:00"/>
    <x v="0"/>
    <x v="2"/>
    <x v="0"/>
    <n v="12"/>
    <x v="0"/>
    <x v="0"/>
    <x v="0"/>
    <n v="24"/>
    <s v="Islamabad"/>
  </r>
  <r>
    <s v="O152"/>
    <s v="C034"/>
    <s v="P11"/>
    <n v="1"/>
    <d v="2026-06-15T00:00:00"/>
    <x v="1"/>
    <x v="7"/>
    <x v="1"/>
    <n v="110"/>
    <x v="1"/>
    <x v="1"/>
    <x v="1"/>
    <n v="110"/>
    <s v="Karachi"/>
  </r>
  <r>
    <s v="O153"/>
    <s v="C007"/>
    <s v="P06"/>
    <n v="3"/>
    <d v="2026-06-16T00:00:00"/>
    <x v="0"/>
    <x v="8"/>
    <x v="2"/>
    <n v="30"/>
    <x v="2"/>
    <x v="1"/>
    <x v="1"/>
    <n v="90"/>
    <s v="Lahore"/>
  </r>
  <r>
    <s v="O154"/>
    <s v="C021"/>
    <s v="P14"/>
    <n v="2"/>
    <d v="2026-06-16T00:00:00"/>
    <x v="0"/>
    <x v="9"/>
    <x v="1"/>
    <n v="95"/>
    <x v="3"/>
    <x v="2"/>
    <x v="0"/>
    <n v="190"/>
    <s v="Rawalpindi"/>
  </r>
  <r>
    <s v="O155"/>
    <s v="C045"/>
    <s v="P09"/>
    <n v="1"/>
    <d v="2026-06-17T00:00:00"/>
    <x v="0"/>
    <x v="11"/>
    <x v="2"/>
    <n v="25"/>
    <x v="4"/>
    <x v="1"/>
    <x v="0"/>
    <n v="25"/>
    <s v="Lahore"/>
  </r>
  <r>
    <s v="O156"/>
    <s v="C003"/>
    <s v="P02"/>
    <n v="4"/>
    <d v="2026-06-17T00:00:00"/>
    <x v="0"/>
    <x v="6"/>
    <x v="0"/>
    <n v="45"/>
    <x v="5"/>
    <x v="2"/>
    <x v="0"/>
    <n v="180"/>
    <s v="Lahore"/>
  </r>
  <r>
    <s v="O157"/>
    <s v="C018"/>
    <s v="P13"/>
    <n v="2"/>
    <d v="2026-06-18T00:00:00"/>
    <x v="0"/>
    <x v="12"/>
    <x v="1"/>
    <n v="120"/>
    <x v="6"/>
    <x v="3"/>
    <x v="0"/>
    <n v="240"/>
    <s v="Islamabad"/>
  </r>
  <r>
    <s v="O158"/>
    <s v="C029"/>
    <s v="P05"/>
    <n v="1"/>
    <d v="2026-06-18T00:00:00"/>
    <x v="0"/>
    <x v="0"/>
    <x v="0"/>
    <n v="40"/>
    <x v="7"/>
    <x v="3"/>
    <x v="2"/>
    <n v="40"/>
    <s v="Rawalpindi"/>
  </r>
  <r>
    <s v="O159"/>
    <s v="C041"/>
    <s v="P10"/>
    <n v="3"/>
    <d v="2026-06-19T00:00:00"/>
    <x v="0"/>
    <x v="14"/>
    <x v="2"/>
    <n v="40"/>
    <x v="8"/>
    <x v="1"/>
    <x v="2"/>
    <n v="120"/>
    <s v="Faisalabad"/>
  </r>
  <r>
    <s v="O160"/>
    <s v="C015"/>
    <s v="P07"/>
    <n v="2"/>
    <d v="2026-06-19T00:00:00"/>
    <x v="1"/>
    <x v="5"/>
    <x v="2"/>
    <n v="15"/>
    <x v="9"/>
    <x v="3"/>
    <x v="0"/>
    <n v="30"/>
    <s v="Karachi"/>
  </r>
  <r>
    <s v="O161"/>
    <s v="C008"/>
    <s v="P04"/>
    <n v="1"/>
    <d v="2026-06-20T00:00:00"/>
    <x v="0"/>
    <x v="13"/>
    <x v="0"/>
    <n v="95"/>
    <x v="10"/>
    <x v="2"/>
    <x v="2"/>
    <n v="95"/>
    <s v="Karachi"/>
  </r>
  <r>
    <s v="O162"/>
    <s v="C037"/>
    <s v="P08"/>
    <n v="3"/>
    <d v="2026-06-20T00:00:00"/>
    <x v="0"/>
    <x v="3"/>
    <x v="2"/>
    <n v="35"/>
    <x v="11"/>
    <x v="1"/>
    <x v="1"/>
    <n v="105"/>
    <s v="Islamabad"/>
  </r>
  <r>
    <s v="O163"/>
    <s v="C022"/>
    <s v="P12"/>
    <n v="2"/>
    <d v="2026-06-21T00:00:00"/>
    <x v="0"/>
    <x v="1"/>
    <x v="1"/>
    <n v="150"/>
    <x v="12"/>
    <x v="3"/>
    <x v="1"/>
    <n v="300"/>
    <s v="Lahore"/>
  </r>
  <r>
    <s v="O164"/>
    <s v="C006"/>
    <s v="P03"/>
    <n v="1"/>
    <d v="2026-06-21T00:00:00"/>
    <x v="0"/>
    <x v="2"/>
    <x v="0"/>
    <n v="12"/>
    <x v="13"/>
    <x v="3"/>
    <x v="0"/>
    <n v="12"/>
    <s v="Islamabad"/>
  </r>
  <r>
    <s v="O165"/>
    <s v="C033"/>
    <s v="P11"/>
    <n v="4"/>
    <d v="2026-06-22T00:00:00"/>
    <x v="0"/>
    <x v="7"/>
    <x v="1"/>
    <n v="110"/>
    <x v="14"/>
    <x v="0"/>
    <x v="0"/>
    <n v="440"/>
    <s v="Karachi"/>
  </r>
  <r>
    <s v="O166"/>
    <s v="C044"/>
    <s v="P06"/>
    <n v="2"/>
    <d v="2026-06-22T00:00:00"/>
    <x v="0"/>
    <x v="8"/>
    <x v="2"/>
    <n v="30"/>
    <x v="15"/>
    <x v="2"/>
    <x v="2"/>
    <n v="60"/>
    <s v="Lahore"/>
  </r>
  <r>
    <s v="O167"/>
    <s v="C011"/>
    <s v="P14"/>
    <n v="1"/>
    <d v="2026-06-23T00:00:00"/>
    <x v="0"/>
    <x v="9"/>
    <x v="1"/>
    <n v="95"/>
    <x v="16"/>
    <x v="1"/>
    <x v="2"/>
    <n v="95"/>
    <s v="Rawalpindi"/>
  </r>
  <r>
    <s v="O168"/>
    <s v="C028"/>
    <s v="P09"/>
    <n v="3"/>
    <d v="2026-06-23T00:00:00"/>
    <x v="0"/>
    <x v="11"/>
    <x v="2"/>
    <n v="25"/>
    <x v="17"/>
    <x v="2"/>
    <x v="1"/>
    <n v="75"/>
    <s v="Lahore"/>
  </r>
  <r>
    <s v="O169"/>
    <s v="C002"/>
    <s v="P02"/>
    <n v="2"/>
    <d v="2026-06-24T00:00:00"/>
    <x v="0"/>
    <x v="6"/>
    <x v="0"/>
    <n v="45"/>
    <x v="18"/>
    <x v="3"/>
    <x v="2"/>
    <n v="90"/>
    <s v="Lahore"/>
  </r>
  <r>
    <s v="O170"/>
    <s v="C039"/>
    <s v="P13"/>
    <n v="1"/>
    <d v="2026-06-24T00:00:00"/>
    <x v="1"/>
    <x v="12"/>
    <x v="1"/>
    <n v="120"/>
    <x v="19"/>
    <x v="2"/>
    <x v="0"/>
    <n v="120"/>
    <s v="Islamabad"/>
  </r>
  <r>
    <s v="O171"/>
    <s v="C016"/>
    <s v="P05"/>
    <n v="3"/>
    <d v="2026-06-25T00:00:00"/>
    <x v="0"/>
    <x v="0"/>
    <x v="0"/>
    <n v="40"/>
    <x v="20"/>
    <x v="1"/>
    <x v="1"/>
    <n v="120"/>
    <s v="Rawalpindi"/>
  </r>
  <r>
    <s v="O172"/>
    <s v="C031"/>
    <s v="P10"/>
    <n v="2"/>
    <d v="2026-06-25T00:00:00"/>
    <x v="0"/>
    <x v="14"/>
    <x v="2"/>
    <n v="40"/>
    <x v="21"/>
    <x v="4"/>
    <x v="1"/>
    <n v="80"/>
    <s v="Faisalabad"/>
  </r>
  <r>
    <s v="O173"/>
    <s v="C048"/>
    <s v="P07"/>
    <n v="1"/>
    <d v="2026-06-26T00:00:00"/>
    <x v="0"/>
    <x v="5"/>
    <x v="2"/>
    <n v="15"/>
    <x v="22"/>
    <x v="2"/>
    <x v="0"/>
    <n v="15"/>
    <s v="Karachi"/>
  </r>
  <r>
    <s v="O174"/>
    <s v="C009"/>
    <s v="P04"/>
    <n v="4"/>
    <d v="2026-06-26T00:00:00"/>
    <x v="0"/>
    <x v="13"/>
    <x v="0"/>
    <n v="95"/>
    <x v="23"/>
    <x v="4"/>
    <x v="0"/>
    <n v="380"/>
    <s v="Karachi"/>
  </r>
  <r>
    <s v="O175"/>
    <s v="C025"/>
    <s v="P08"/>
    <n v="2"/>
    <d v="2026-06-27T00:00:00"/>
    <x v="0"/>
    <x v="3"/>
    <x v="2"/>
    <n v="35"/>
    <x v="24"/>
    <x v="2"/>
    <x v="1"/>
    <n v="70"/>
    <s v="Islamabad"/>
  </r>
  <r>
    <s v="O176"/>
    <s v="C042"/>
    <s v="P12"/>
    <n v="1"/>
    <d v="2026-06-27T00:00:00"/>
    <x v="0"/>
    <x v="1"/>
    <x v="1"/>
    <n v="150"/>
    <x v="25"/>
    <x v="0"/>
    <x v="0"/>
    <n v="150"/>
    <s v="Lahore"/>
  </r>
  <r>
    <s v="O177"/>
    <s v="C014"/>
    <s v="P03"/>
    <n v="3"/>
    <d v="2026-06-28T00:00:00"/>
    <x v="0"/>
    <x v="2"/>
    <x v="0"/>
    <n v="12"/>
    <x v="26"/>
    <x v="1"/>
    <x v="2"/>
    <n v="36"/>
    <s v="Islamabad"/>
  </r>
  <r>
    <s v="O178"/>
    <s v="C036"/>
    <s v="P11"/>
    <n v="2"/>
    <d v="2026-06-28T00:00:00"/>
    <x v="0"/>
    <x v="7"/>
    <x v="1"/>
    <n v="110"/>
    <x v="27"/>
    <x v="3"/>
    <x v="0"/>
    <n v="220"/>
    <s v="Karachi"/>
  </r>
  <r>
    <s v="O179"/>
    <s v="C001"/>
    <s v="P06"/>
    <n v="1"/>
    <d v="2026-06-29T00:00:00"/>
    <x v="0"/>
    <x v="8"/>
    <x v="2"/>
    <n v="30"/>
    <x v="28"/>
    <x v="1"/>
    <x v="1"/>
    <n v="30"/>
    <s v="Lahore"/>
  </r>
  <r>
    <s v="O180"/>
    <s v="C027"/>
    <s v="P14"/>
    <n v="4"/>
    <d v="2026-06-29T00:00:00"/>
    <x v="0"/>
    <x v="9"/>
    <x v="1"/>
    <n v="95"/>
    <x v="29"/>
    <x v="3"/>
    <x v="0"/>
    <n v="380"/>
    <s v="Rawalpindi"/>
  </r>
  <r>
    <s v="O181"/>
    <s v="C050"/>
    <s v="P09"/>
    <n v="2"/>
    <d v="2026-06-30T00:00:00"/>
    <x v="0"/>
    <x v="11"/>
    <x v="2"/>
    <n v="25"/>
    <x v="30"/>
    <x v="3"/>
    <x v="2"/>
    <n v="50"/>
    <s v="Lahore"/>
  </r>
  <r>
    <s v="O182"/>
    <s v="C013"/>
    <s v="P02"/>
    <n v="1"/>
    <d v="2026-06-30T00:00:00"/>
    <x v="0"/>
    <x v="6"/>
    <x v="0"/>
    <n v="45"/>
    <x v="31"/>
    <x v="2"/>
    <x v="1"/>
    <n v="45"/>
    <s v="Lahore"/>
  </r>
  <r>
    <s v="O183"/>
    <s v="C038"/>
    <s v="P13"/>
    <n v="3"/>
    <d v="2026-07-01T00:00:00"/>
    <x v="0"/>
    <x v="12"/>
    <x v="1"/>
    <n v="120"/>
    <x v="32"/>
    <x v="4"/>
    <x v="2"/>
    <n v="360"/>
    <s v="Islamabad"/>
  </r>
  <r>
    <s v="O184"/>
    <s v="C004"/>
    <s v="P05"/>
    <n v="2"/>
    <d v="2026-07-01T00:00:00"/>
    <x v="0"/>
    <x v="0"/>
    <x v="0"/>
    <n v="40"/>
    <x v="33"/>
    <x v="1"/>
    <x v="1"/>
    <n v="80"/>
    <s v="Rawalpindi"/>
  </r>
  <r>
    <s v="O185"/>
    <s v="C023"/>
    <s v="P10"/>
    <n v="1"/>
    <d v="2026-07-02T00:00:00"/>
    <x v="0"/>
    <x v="14"/>
    <x v="2"/>
    <n v="40"/>
    <x v="34"/>
    <x v="1"/>
    <x v="2"/>
    <n v="40"/>
    <s v="Faisalabad"/>
  </r>
  <r>
    <s v="O186"/>
    <s v="C046"/>
    <s v="P07"/>
    <n v="4"/>
    <d v="2026-07-02T00:00:00"/>
    <x v="1"/>
    <x v="5"/>
    <x v="2"/>
    <n v="15"/>
    <x v="35"/>
    <x v="3"/>
    <x v="1"/>
    <n v="60"/>
    <s v="Karachi"/>
  </r>
  <r>
    <s v="O187"/>
    <s v="C010"/>
    <s v="P04"/>
    <n v="2"/>
    <d v="2026-07-03T00:00:00"/>
    <x v="0"/>
    <x v="13"/>
    <x v="0"/>
    <n v="95"/>
    <x v="36"/>
    <x v="3"/>
    <x v="1"/>
    <n v="190"/>
    <s v="Karachi"/>
  </r>
  <r>
    <s v="O188"/>
    <s v="C032"/>
    <s v="P08"/>
    <n v="1"/>
    <d v="2026-07-03T00:00:00"/>
    <x v="0"/>
    <x v="3"/>
    <x v="2"/>
    <n v="35"/>
    <x v="37"/>
    <x v="3"/>
    <x v="2"/>
    <n v="35"/>
    <s v="Islamabad"/>
  </r>
  <r>
    <s v="O189"/>
    <s v="C019"/>
    <s v="P12"/>
    <n v="3"/>
    <d v="2026-07-04T00:00:00"/>
    <x v="0"/>
    <x v="1"/>
    <x v="1"/>
    <n v="150"/>
    <x v="38"/>
    <x v="0"/>
    <x v="1"/>
    <n v="450"/>
    <s v="Lahore"/>
  </r>
  <r>
    <s v="O190"/>
    <s v="C043"/>
    <s v="P03"/>
    <n v="2"/>
    <d v="2026-07-04T00:00:00"/>
    <x v="0"/>
    <x v="2"/>
    <x v="0"/>
    <n v="12"/>
    <x v="39"/>
    <x v="3"/>
    <x v="1"/>
    <n v="24"/>
    <s v="Islamabad"/>
  </r>
  <r>
    <s v="O191"/>
    <s v="C007"/>
    <s v="P11"/>
    <n v="1"/>
    <d v="2026-07-05T00:00:00"/>
    <x v="0"/>
    <x v="7"/>
    <x v="1"/>
    <n v="110"/>
    <x v="2"/>
    <x v="1"/>
    <x v="1"/>
    <n v="110"/>
    <s v="Karachi"/>
  </r>
  <r>
    <s v="O192"/>
    <s v="C030"/>
    <s v="P06"/>
    <n v="4"/>
    <d v="2026-07-05T00:00:00"/>
    <x v="0"/>
    <x v="8"/>
    <x v="2"/>
    <n v="30"/>
    <x v="40"/>
    <x v="1"/>
    <x v="0"/>
    <n v="120"/>
    <s v="Lahore"/>
  </r>
  <r>
    <s v="O193"/>
    <s v="C047"/>
    <s v="P14"/>
    <n v="2"/>
    <d v="2026-07-06T00:00:00"/>
    <x v="0"/>
    <x v="9"/>
    <x v="1"/>
    <n v="95"/>
    <x v="41"/>
    <x v="0"/>
    <x v="2"/>
    <n v="190"/>
    <s v="Rawalpindi"/>
  </r>
  <r>
    <s v="O194"/>
    <s v="C005"/>
    <s v="P09"/>
    <n v="1"/>
    <d v="2026-07-06T00:00:00"/>
    <x v="0"/>
    <x v="11"/>
    <x v="2"/>
    <n v="25"/>
    <x v="42"/>
    <x v="0"/>
    <x v="2"/>
    <n v="25"/>
    <s v="Lahore"/>
  </r>
  <r>
    <s v="O195"/>
    <s v="C024"/>
    <s v="P02"/>
    <n v="3"/>
    <d v="2026-07-07T00:00:00"/>
    <x v="0"/>
    <x v="6"/>
    <x v="0"/>
    <n v="45"/>
    <x v="43"/>
    <x v="0"/>
    <x v="0"/>
    <n v="135"/>
    <s v="Lahore"/>
  </r>
  <r>
    <s v="O196"/>
    <s v="C040"/>
    <s v="P13"/>
    <n v="2"/>
    <d v="2026-07-07T00:00:00"/>
    <x v="2"/>
    <x v="12"/>
    <x v="1"/>
    <n v="120"/>
    <x v="44"/>
    <x v="3"/>
    <x v="1"/>
    <n v="240"/>
    <s v="Islamabad"/>
  </r>
  <r>
    <s v="O197"/>
    <s v="C017"/>
    <s v="P05"/>
    <n v="1"/>
    <d v="2026-07-08T00:00:00"/>
    <x v="0"/>
    <x v="0"/>
    <x v="0"/>
    <n v="40"/>
    <x v="45"/>
    <x v="4"/>
    <x v="2"/>
    <n v="40"/>
    <s v="Rawalpindi"/>
  </r>
  <r>
    <s v="O198"/>
    <s v="C035"/>
    <s v="P10"/>
    <n v="4"/>
    <d v="2026-07-08T00:00:00"/>
    <x v="0"/>
    <x v="14"/>
    <x v="2"/>
    <n v="40"/>
    <x v="46"/>
    <x v="2"/>
    <x v="2"/>
    <n v="160"/>
    <s v="Faisalabad"/>
  </r>
  <r>
    <s v="O199"/>
    <s v="C026"/>
    <s v="P07"/>
    <n v="2"/>
    <d v="2026-07-09T00:00:00"/>
    <x v="0"/>
    <x v="5"/>
    <x v="2"/>
    <n v="15"/>
    <x v="47"/>
    <x v="1"/>
    <x v="2"/>
    <n v="30"/>
    <s v="Karachi"/>
  </r>
  <r>
    <s v="O200"/>
    <s v="C049"/>
    <s v="P04"/>
    <n v="1"/>
    <d v="2026-07-09T00:00:00"/>
    <x v="0"/>
    <x v="13"/>
    <x v="0"/>
    <n v="95"/>
    <x v="48"/>
    <x v="1"/>
    <x v="1"/>
    <n v="95"/>
    <s v="Karachi"/>
  </r>
  <r>
    <s v="O201"/>
    <s v="C012"/>
    <s v="P08"/>
    <n v="3"/>
    <d v="2026-07-10T00:00:00"/>
    <x v="0"/>
    <x v="3"/>
    <x v="2"/>
    <n v="35"/>
    <x v="0"/>
    <x v="0"/>
    <x v="0"/>
    <n v="105"/>
    <s v="Islamabad"/>
  </r>
  <r>
    <s v="O202"/>
    <s v="C034"/>
    <s v="P12"/>
    <n v="2"/>
    <d v="2026-07-10T00:00:00"/>
    <x v="0"/>
    <x v="1"/>
    <x v="1"/>
    <n v="150"/>
    <x v="1"/>
    <x v="1"/>
    <x v="1"/>
    <n v="300"/>
    <s v="Lahore"/>
  </r>
  <r>
    <s v="O203"/>
    <s v="C007"/>
    <s v="P03"/>
    <n v="1"/>
    <d v="2026-07-11T00:00:00"/>
    <x v="0"/>
    <x v="2"/>
    <x v="0"/>
    <n v="12"/>
    <x v="2"/>
    <x v="1"/>
    <x v="1"/>
    <n v="12"/>
    <s v="Islamabad"/>
  </r>
  <r>
    <s v="O204"/>
    <s v="C021"/>
    <s v="P11"/>
    <n v="4"/>
    <d v="2026-07-11T00:00:00"/>
    <x v="1"/>
    <x v="7"/>
    <x v="1"/>
    <n v="110"/>
    <x v="3"/>
    <x v="2"/>
    <x v="0"/>
    <n v="440"/>
    <s v="Karachi"/>
  </r>
  <r>
    <s v="O205"/>
    <s v="C045"/>
    <s v="P06"/>
    <n v="2"/>
    <d v="2026-07-12T00:00:00"/>
    <x v="0"/>
    <x v="8"/>
    <x v="2"/>
    <n v="30"/>
    <x v="4"/>
    <x v="1"/>
    <x v="0"/>
    <n v="60"/>
    <s v="Lahore"/>
  </r>
  <r>
    <s v="O206"/>
    <s v="C003"/>
    <s v="P14"/>
    <n v="1"/>
    <d v="2026-07-12T00:00:00"/>
    <x v="0"/>
    <x v="9"/>
    <x v="1"/>
    <n v="95"/>
    <x v="5"/>
    <x v="2"/>
    <x v="0"/>
    <n v="95"/>
    <s v="Rawalpindi"/>
  </r>
  <r>
    <s v="O207"/>
    <s v="C018"/>
    <s v="P09"/>
    <n v="3"/>
    <d v="2026-07-13T00:00:00"/>
    <x v="0"/>
    <x v="11"/>
    <x v="2"/>
    <n v="25"/>
    <x v="6"/>
    <x v="3"/>
    <x v="0"/>
    <n v="75"/>
    <s v="Lahore"/>
  </r>
  <r>
    <s v="O208"/>
    <s v="C029"/>
    <s v="P02"/>
    <n v="2"/>
    <d v="2026-07-13T00:00:00"/>
    <x v="0"/>
    <x v="6"/>
    <x v="0"/>
    <n v="45"/>
    <x v="7"/>
    <x v="3"/>
    <x v="2"/>
    <n v="90"/>
    <s v="Lahore"/>
  </r>
  <r>
    <s v="O209"/>
    <s v="C041"/>
    <s v="P13"/>
    <n v="1"/>
    <d v="2026-07-14T00:00:00"/>
    <x v="0"/>
    <x v="12"/>
    <x v="1"/>
    <n v="120"/>
    <x v="8"/>
    <x v="1"/>
    <x v="2"/>
    <n v="120"/>
    <s v="Islamabad"/>
  </r>
  <r>
    <s v="O210"/>
    <s v="C015"/>
    <s v="P05"/>
    <n v="4"/>
    <d v="2026-07-14T00:00:00"/>
    <x v="0"/>
    <x v="0"/>
    <x v="0"/>
    <n v="40"/>
    <x v="9"/>
    <x v="3"/>
    <x v="0"/>
    <n v="160"/>
    <s v="Rawalpindi"/>
  </r>
  <r>
    <s v="O211"/>
    <s v="C008"/>
    <s v="P10"/>
    <n v="2"/>
    <d v="2026-07-15T00:00:00"/>
    <x v="0"/>
    <x v="14"/>
    <x v="2"/>
    <n v="40"/>
    <x v="10"/>
    <x v="2"/>
    <x v="2"/>
    <n v="80"/>
    <s v="Faisalabad"/>
  </r>
  <r>
    <s v="O212"/>
    <s v="C037"/>
    <s v="P07"/>
    <n v="1"/>
    <d v="2026-07-15T00:00:00"/>
    <x v="0"/>
    <x v="5"/>
    <x v="2"/>
    <n v="15"/>
    <x v="11"/>
    <x v="1"/>
    <x v="1"/>
    <n v="15"/>
    <s v="Karachi"/>
  </r>
  <r>
    <s v="O213"/>
    <s v="C022"/>
    <s v="P04"/>
    <n v="3"/>
    <d v="2026-07-16T00:00:00"/>
    <x v="0"/>
    <x v="13"/>
    <x v="0"/>
    <n v="95"/>
    <x v="12"/>
    <x v="3"/>
    <x v="1"/>
    <n v="285"/>
    <s v="Karachi"/>
  </r>
  <r>
    <s v="O214"/>
    <s v="C006"/>
    <s v="P08"/>
    <n v="2"/>
    <d v="2026-07-16T00:00:00"/>
    <x v="0"/>
    <x v="3"/>
    <x v="2"/>
    <n v="35"/>
    <x v="13"/>
    <x v="3"/>
    <x v="0"/>
    <n v="70"/>
    <s v="Islamabad"/>
  </r>
  <r>
    <s v="O215"/>
    <s v="C033"/>
    <s v="P12"/>
    <n v="1"/>
    <d v="2026-07-17T00:00:00"/>
    <x v="1"/>
    <x v="1"/>
    <x v="1"/>
    <n v="150"/>
    <x v="14"/>
    <x v="0"/>
    <x v="0"/>
    <n v="150"/>
    <s v="Lahore"/>
  </r>
  <r>
    <s v="O216"/>
    <s v="C044"/>
    <s v="P03"/>
    <n v="4"/>
    <d v="2026-07-17T00:00:00"/>
    <x v="0"/>
    <x v="2"/>
    <x v="0"/>
    <n v="12"/>
    <x v="15"/>
    <x v="2"/>
    <x v="2"/>
    <n v="48"/>
    <s v="Islamabad"/>
  </r>
  <r>
    <s v="O217"/>
    <s v="C011"/>
    <s v="P11"/>
    <n v="2"/>
    <d v="2026-07-18T00:00:00"/>
    <x v="0"/>
    <x v="7"/>
    <x v="1"/>
    <n v="110"/>
    <x v="16"/>
    <x v="1"/>
    <x v="2"/>
    <n v="220"/>
    <s v="Karachi"/>
  </r>
  <r>
    <s v="O218"/>
    <s v="C028"/>
    <s v="P06"/>
    <n v="1"/>
    <d v="2026-07-18T00:00:00"/>
    <x v="0"/>
    <x v="8"/>
    <x v="2"/>
    <n v="30"/>
    <x v="17"/>
    <x v="2"/>
    <x v="1"/>
    <n v="30"/>
    <s v="Lahore"/>
  </r>
  <r>
    <s v="O219"/>
    <s v="C002"/>
    <s v="P14"/>
    <n v="3"/>
    <d v="2026-07-19T00:00:00"/>
    <x v="0"/>
    <x v="9"/>
    <x v="1"/>
    <n v="95"/>
    <x v="18"/>
    <x v="3"/>
    <x v="2"/>
    <n v="285"/>
    <s v="Rawalpindi"/>
  </r>
  <r>
    <s v="O220"/>
    <s v="C039"/>
    <s v="P09"/>
    <n v="2"/>
    <d v="2026-07-19T00:00:00"/>
    <x v="0"/>
    <x v="11"/>
    <x v="2"/>
    <n v="25"/>
    <x v="19"/>
    <x v="2"/>
    <x v="0"/>
    <n v="50"/>
    <s v="Lahore"/>
  </r>
  <r>
    <s v="O221"/>
    <s v="C016"/>
    <s v="P02"/>
    <n v="1"/>
    <d v="2026-07-20T00:00:00"/>
    <x v="0"/>
    <x v="6"/>
    <x v="0"/>
    <n v="45"/>
    <x v="20"/>
    <x v="1"/>
    <x v="1"/>
    <n v="45"/>
    <s v="Lahore"/>
  </r>
  <r>
    <s v="O222"/>
    <s v="C031"/>
    <s v="P13"/>
    <n v="4"/>
    <d v="2026-07-20T00:00:00"/>
    <x v="0"/>
    <x v="12"/>
    <x v="1"/>
    <n v="120"/>
    <x v="21"/>
    <x v="4"/>
    <x v="1"/>
    <n v="480"/>
    <s v="Islamabad"/>
  </r>
  <r>
    <s v="O223"/>
    <s v="C048"/>
    <s v="P05"/>
    <n v="2"/>
    <d v="2026-07-21T00:00:00"/>
    <x v="0"/>
    <x v="0"/>
    <x v="0"/>
    <n v="40"/>
    <x v="22"/>
    <x v="2"/>
    <x v="0"/>
    <n v="80"/>
    <s v="Rawalpindi"/>
  </r>
  <r>
    <s v="O224"/>
    <s v="C009"/>
    <s v="P10"/>
    <n v="1"/>
    <d v="2026-07-21T00:00:00"/>
    <x v="0"/>
    <x v="14"/>
    <x v="2"/>
    <n v="40"/>
    <x v="23"/>
    <x v="4"/>
    <x v="0"/>
    <n v="40"/>
    <s v="Faisalabad"/>
  </r>
  <r>
    <s v="O225"/>
    <s v="C025"/>
    <s v="P07"/>
    <n v="3"/>
    <d v="2026-07-22T00:00:00"/>
    <x v="0"/>
    <x v="5"/>
    <x v="2"/>
    <n v="15"/>
    <x v="24"/>
    <x v="2"/>
    <x v="1"/>
    <n v="45"/>
    <s v="Karachi"/>
  </r>
  <r>
    <s v="O226"/>
    <s v="C042"/>
    <s v="P04"/>
    <n v="2"/>
    <d v="2026-07-22T00:00:00"/>
    <x v="0"/>
    <x v="13"/>
    <x v="0"/>
    <n v="95"/>
    <x v="25"/>
    <x v="0"/>
    <x v="0"/>
    <n v="190"/>
    <s v="Karachi"/>
  </r>
  <r>
    <s v="O227"/>
    <s v="C014"/>
    <s v="P08"/>
    <n v="1"/>
    <d v="2026-07-23T00:00:00"/>
    <x v="0"/>
    <x v="3"/>
    <x v="2"/>
    <n v="35"/>
    <x v="26"/>
    <x v="1"/>
    <x v="2"/>
    <n v="35"/>
    <s v="Islamabad"/>
  </r>
  <r>
    <s v="O228"/>
    <s v="C036"/>
    <s v="P12"/>
    <n v="4"/>
    <d v="2026-07-23T00:00:00"/>
    <x v="0"/>
    <x v="1"/>
    <x v="1"/>
    <n v="150"/>
    <x v="27"/>
    <x v="3"/>
    <x v="0"/>
    <n v="600"/>
    <s v="Lahore"/>
  </r>
  <r>
    <s v="O229"/>
    <s v="C001"/>
    <s v="P03"/>
    <n v="2"/>
    <d v="2026-07-24T00:00:00"/>
    <x v="0"/>
    <x v="2"/>
    <x v="0"/>
    <n v="12"/>
    <x v="28"/>
    <x v="1"/>
    <x v="1"/>
    <n v="24"/>
    <s v="Islamabad"/>
  </r>
  <r>
    <s v="O230"/>
    <s v="C027"/>
    <s v="P11"/>
    <n v="1"/>
    <d v="2026-07-24T00:00:00"/>
    <x v="0"/>
    <x v="7"/>
    <x v="1"/>
    <n v="110"/>
    <x v="29"/>
    <x v="3"/>
    <x v="0"/>
    <n v="110"/>
    <s v="Karachi"/>
  </r>
  <r>
    <s v="O231"/>
    <s v="C050"/>
    <s v="P06"/>
    <n v="3"/>
    <d v="2026-07-25T00:00:00"/>
    <x v="0"/>
    <x v="8"/>
    <x v="2"/>
    <n v="30"/>
    <x v="30"/>
    <x v="3"/>
    <x v="2"/>
    <n v="90"/>
    <s v="Lahore"/>
  </r>
  <r>
    <s v="O232"/>
    <s v="C013"/>
    <s v="P14"/>
    <n v="2"/>
    <d v="2026-07-25T00:00:00"/>
    <x v="0"/>
    <x v="9"/>
    <x v="1"/>
    <n v="95"/>
    <x v="31"/>
    <x v="2"/>
    <x v="1"/>
    <n v="190"/>
    <s v="Rawalpindi"/>
  </r>
  <r>
    <s v="O233"/>
    <s v="C038"/>
    <s v="P09"/>
    <n v="1"/>
    <d v="2026-07-26T00:00:00"/>
    <x v="2"/>
    <x v="11"/>
    <x v="2"/>
    <n v="25"/>
    <x v="32"/>
    <x v="4"/>
    <x v="2"/>
    <n v="25"/>
    <s v="Lahore"/>
  </r>
  <r>
    <s v="O234"/>
    <s v="C004"/>
    <s v="P02"/>
    <n v="4"/>
    <d v="2026-07-26T00:00:00"/>
    <x v="0"/>
    <x v="6"/>
    <x v="0"/>
    <n v="45"/>
    <x v="33"/>
    <x v="1"/>
    <x v="1"/>
    <n v="180"/>
    <s v="Lahore"/>
  </r>
  <r>
    <s v="O235"/>
    <s v="C023"/>
    <s v="P13"/>
    <n v="2"/>
    <d v="2026-07-27T00:00:00"/>
    <x v="0"/>
    <x v="12"/>
    <x v="1"/>
    <n v="120"/>
    <x v="34"/>
    <x v="1"/>
    <x v="2"/>
    <n v="240"/>
    <s v="Islamabad"/>
  </r>
  <r>
    <s v="O236"/>
    <s v="C046"/>
    <s v="P05"/>
    <n v="1"/>
    <d v="2026-07-27T00:00:00"/>
    <x v="1"/>
    <x v="0"/>
    <x v="0"/>
    <n v="40"/>
    <x v="35"/>
    <x v="3"/>
    <x v="1"/>
    <n v="40"/>
    <s v="Rawalpindi"/>
  </r>
  <r>
    <s v="O237"/>
    <s v="C010"/>
    <s v="P10"/>
    <n v="3"/>
    <d v="2026-07-28T00:00:00"/>
    <x v="0"/>
    <x v="14"/>
    <x v="2"/>
    <n v="40"/>
    <x v="36"/>
    <x v="3"/>
    <x v="1"/>
    <n v="120"/>
    <s v="Faisalabad"/>
  </r>
  <r>
    <s v="O238"/>
    <s v="C032"/>
    <s v="P07"/>
    <n v="2"/>
    <d v="2026-07-28T00:00:00"/>
    <x v="0"/>
    <x v="5"/>
    <x v="2"/>
    <n v="15"/>
    <x v="37"/>
    <x v="3"/>
    <x v="2"/>
    <n v="30"/>
    <s v="Karachi"/>
  </r>
  <r>
    <s v="O239"/>
    <s v="C019"/>
    <s v="P04"/>
    <n v="1"/>
    <d v="2026-07-29T00:00:00"/>
    <x v="0"/>
    <x v="13"/>
    <x v="0"/>
    <n v="95"/>
    <x v="38"/>
    <x v="0"/>
    <x v="1"/>
    <n v="95"/>
    <s v="Karachi"/>
  </r>
  <r>
    <s v="O240"/>
    <s v="C043"/>
    <s v="P08"/>
    <n v="4"/>
    <d v="2026-07-29T00:00:00"/>
    <x v="0"/>
    <x v="3"/>
    <x v="2"/>
    <n v="35"/>
    <x v="39"/>
    <x v="3"/>
    <x v="1"/>
    <n v="140"/>
    <s v="Islamabad"/>
  </r>
  <r>
    <s v="O241"/>
    <s v="C007"/>
    <s v="P12"/>
    <n v="2"/>
    <d v="2026-07-30T00:00:00"/>
    <x v="0"/>
    <x v="1"/>
    <x v="1"/>
    <n v="150"/>
    <x v="2"/>
    <x v="1"/>
    <x v="1"/>
    <n v="300"/>
    <s v="Lahore"/>
  </r>
  <r>
    <s v="O242"/>
    <s v="C030"/>
    <s v="P03"/>
    <n v="1"/>
    <d v="2026-07-30T00:00:00"/>
    <x v="0"/>
    <x v="2"/>
    <x v="0"/>
    <n v="12"/>
    <x v="40"/>
    <x v="1"/>
    <x v="0"/>
    <n v="12"/>
    <s v="Islamabad"/>
  </r>
  <r>
    <s v="O243"/>
    <s v="C047"/>
    <s v="P11"/>
    <n v="3"/>
    <d v="2026-07-31T00:00:00"/>
    <x v="0"/>
    <x v="7"/>
    <x v="1"/>
    <n v="110"/>
    <x v="41"/>
    <x v="0"/>
    <x v="2"/>
    <n v="330"/>
    <s v="Karachi"/>
  </r>
  <r>
    <s v="O244"/>
    <s v="C005"/>
    <s v="P06"/>
    <n v="2"/>
    <d v="2026-07-31T00:00:00"/>
    <x v="0"/>
    <x v="8"/>
    <x v="2"/>
    <n v="30"/>
    <x v="42"/>
    <x v="0"/>
    <x v="2"/>
    <n v="60"/>
    <s v="Lahore"/>
  </r>
  <r>
    <s v="O245"/>
    <s v="C024"/>
    <s v="P14"/>
    <n v="1"/>
    <d v="2026-08-01T00:00:00"/>
    <x v="0"/>
    <x v="9"/>
    <x v="1"/>
    <n v="95"/>
    <x v="43"/>
    <x v="0"/>
    <x v="0"/>
    <n v="95"/>
    <s v="Rawalpindi"/>
  </r>
  <r>
    <s v="O246"/>
    <s v="C040"/>
    <s v="P09"/>
    <n v="4"/>
    <d v="2026-08-01T00:00:00"/>
    <x v="1"/>
    <x v="11"/>
    <x v="2"/>
    <n v="25"/>
    <x v="44"/>
    <x v="3"/>
    <x v="1"/>
    <n v="100"/>
    <s v="Lahore"/>
  </r>
  <r>
    <s v="O247"/>
    <s v="C017"/>
    <s v="P02"/>
    <n v="2"/>
    <d v="2026-08-02T00:00:00"/>
    <x v="0"/>
    <x v="6"/>
    <x v="0"/>
    <n v="45"/>
    <x v="45"/>
    <x v="4"/>
    <x v="2"/>
    <n v="90"/>
    <s v="Lahore"/>
  </r>
  <r>
    <s v="O248"/>
    <s v="C035"/>
    <s v="P13"/>
    <n v="1"/>
    <d v="2026-08-02T00:00:00"/>
    <x v="0"/>
    <x v="12"/>
    <x v="1"/>
    <n v="120"/>
    <x v="46"/>
    <x v="2"/>
    <x v="2"/>
    <n v="120"/>
    <s v="Islamabad"/>
  </r>
  <r>
    <s v="O249"/>
    <s v="C026"/>
    <s v="P05"/>
    <n v="3"/>
    <d v="2026-08-03T00:00:00"/>
    <x v="0"/>
    <x v="0"/>
    <x v="0"/>
    <n v="40"/>
    <x v="47"/>
    <x v="1"/>
    <x v="2"/>
    <n v="120"/>
    <s v="Rawalpindi"/>
  </r>
  <r>
    <s v="O250"/>
    <s v="C049"/>
    <s v="P10"/>
    <n v="2"/>
    <d v="2026-08-03T00:00:00"/>
    <x v="0"/>
    <x v="14"/>
    <x v="2"/>
    <n v="40"/>
    <x v="48"/>
    <x v="1"/>
    <x v="1"/>
    <n v="80"/>
    <s v="Faisalabad"/>
  </r>
  <r>
    <s v="O251"/>
    <s v="C012"/>
    <s v="P07"/>
    <n v="1"/>
    <d v="2026-08-04T00:00:00"/>
    <x v="0"/>
    <x v="5"/>
    <x v="2"/>
    <n v="15"/>
    <x v="0"/>
    <x v="0"/>
    <x v="0"/>
    <n v="15"/>
    <s v="Karachi"/>
  </r>
  <r>
    <s v="O252"/>
    <s v="C034"/>
    <s v="P04"/>
    <n v="4"/>
    <d v="2026-08-04T00:00:00"/>
    <x v="0"/>
    <x v="13"/>
    <x v="0"/>
    <n v="95"/>
    <x v="1"/>
    <x v="1"/>
    <x v="1"/>
    <n v="380"/>
    <s v="Karachi"/>
  </r>
  <r>
    <s v="O253"/>
    <s v="C007"/>
    <s v="P08"/>
    <n v="2"/>
    <d v="2026-08-05T00:00:00"/>
    <x v="0"/>
    <x v="3"/>
    <x v="2"/>
    <n v="35"/>
    <x v="2"/>
    <x v="1"/>
    <x v="1"/>
    <n v="70"/>
    <s v="Islamabad"/>
  </r>
  <r>
    <s v="O254"/>
    <s v="C021"/>
    <s v="P12"/>
    <n v="1"/>
    <d v="2026-08-05T00:00:00"/>
    <x v="0"/>
    <x v="1"/>
    <x v="1"/>
    <n v="150"/>
    <x v="3"/>
    <x v="2"/>
    <x v="0"/>
    <n v="150"/>
    <s v="Lahore"/>
  </r>
  <r>
    <s v="O255"/>
    <s v="C045"/>
    <s v="P03"/>
    <n v="3"/>
    <d v="2026-08-06T00:00:00"/>
    <x v="0"/>
    <x v="2"/>
    <x v="0"/>
    <n v="12"/>
    <x v="4"/>
    <x v="1"/>
    <x v="0"/>
    <n v="36"/>
    <s v="Islamabad"/>
  </r>
  <r>
    <s v="O256"/>
    <s v="C003"/>
    <s v="P11"/>
    <n v="2"/>
    <d v="2026-08-06T00:00:00"/>
    <x v="0"/>
    <x v="7"/>
    <x v="1"/>
    <n v="110"/>
    <x v="5"/>
    <x v="2"/>
    <x v="0"/>
    <n v="220"/>
    <s v="Karachi"/>
  </r>
  <r>
    <s v="O257"/>
    <s v="C018"/>
    <s v="P06"/>
    <n v="1"/>
    <d v="2026-08-07T00:00:00"/>
    <x v="0"/>
    <x v="8"/>
    <x v="2"/>
    <n v="30"/>
    <x v="6"/>
    <x v="3"/>
    <x v="0"/>
    <n v="30"/>
    <s v="Lahore"/>
  </r>
  <r>
    <s v="O258"/>
    <s v="C029"/>
    <s v="P14"/>
    <n v="4"/>
    <d v="2026-08-07T00:00:00"/>
    <x v="0"/>
    <x v="9"/>
    <x v="1"/>
    <n v="95"/>
    <x v="7"/>
    <x v="3"/>
    <x v="2"/>
    <n v="380"/>
    <s v="Rawalpindi"/>
  </r>
  <r>
    <s v="O259"/>
    <s v="C041"/>
    <s v="P09"/>
    <n v="2"/>
    <d v="2026-08-08T00:00:00"/>
    <x v="0"/>
    <x v="11"/>
    <x v="2"/>
    <n v="25"/>
    <x v="8"/>
    <x v="1"/>
    <x v="2"/>
    <n v="50"/>
    <s v="Lahore"/>
  </r>
  <r>
    <s v="O260"/>
    <s v="C015"/>
    <s v="P02"/>
    <n v="1"/>
    <d v="2026-08-08T00:00:00"/>
    <x v="1"/>
    <x v="6"/>
    <x v="0"/>
    <n v="45"/>
    <x v="9"/>
    <x v="3"/>
    <x v="0"/>
    <n v="45"/>
    <s v="Lahore"/>
  </r>
  <r>
    <s v="O261"/>
    <s v="C008"/>
    <s v="P13"/>
    <n v="3"/>
    <d v="2026-08-09T00:00:00"/>
    <x v="0"/>
    <x v="12"/>
    <x v="1"/>
    <n v="120"/>
    <x v="10"/>
    <x v="2"/>
    <x v="2"/>
    <n v="360"/>
    <s v="Islamabad"/>
  </r>
  <r>
    <s v="O262"/>
    <s v="C037"/>
    <s v="P05"/>
    <n v="2"/>
    <d v="2026-08-09T00:00:00"/>
    <x v="0"/>
    <x v="0"/>
    <x v="0"/>
    <n v="40"/>
    <x v="11"/>
    <x v="1"/>
    <x v="1"/>
    <n v="80"/>
    <s v="Rawalpindi"/>
  </r>
  <r>
    <s v="O263"/>
    <s v="C022"/>
    <s v="P10"/>
    <n v="1"/>
    <d v="2026-08-10T00:00:00"/>
    <x v="0"/>
    <x v="14"/>
    <x v="2"/>
    <n v="40"/>
    <x v="12"/>
    <x v="3"/>
    <x v="1"/>
    <n v="40"/>
    <s v="Faisalabad"/>
  </r>
  <r>
    <s v="O264"/>
    <s v="C006"/>
    <s v="P07"/>
    <n v="4"/>
    <d v="2026-08-10T00:00:00"/>
    <x v="0"/>
    <x v="5"/>
    <x v="2"/>
    <n v="15"/>
    <x v="13"/>
    <x v="3"/>
    <x v="0"/>
    <n v="60"/>
    <s v="Karachi"/>
  </r>
  <r>
    <s v="O265"/>
    <s v="C033"/>
    <s v="P04"/>
    <n v="2"/>
    <d v="2026-08-11T00:00:00"/>
    <x v="0"/>
    <x v="13"/>
    <x v="0"/>
    <n v="95"/>
    <x v="14"/>
    <x v="0"/>
    <x v="0"/>
    <n v="190"/>
    <s v="Karachi"/>
  </r>
  <r>
    <s v="O266"/>
    <s v="C044"/>
    <s v="P08"/>
    <n v="1"/>
    <d v="2026-08-11T00:00:00"/>
    <x v="0"/>
    <x v="3"/>
    <x v="2"/>
    <n v="35"/>
    <x v="15"/>
    <x v="2"/>
    <x v="2"/>
    <n v="35"/>
    <s v="Islamabad"/>
  </r>
  <r>
    <s v="O267"/>
    <s v="C011"/>
    <s v="P12"/>
    <n v="3"/>
    <d v="2026-08-12T00:00:00"/>
    <x v="0"/>
    <x v="1"/>
    <x v="1"/>
    <n v="150"/>
    <x v="16"/>
    <x v="1"/>
    <x v="2"/>
    <n v="450"/>
    <s v="Lahore"/>
  </r>
  <r>
    <s v="O268"/>
    <s v="C028"/>
    <s v="P03"/>
    <n v="2"/>
    <d v="2026-08-12T00:00:00"/>
    <x v="0"/>
    <x v="2"/>
    <x v="0"/>
    <n v="12"/>
    <x v="17"/>
    <x v="2"/>
    <x v="1"/>
    <n v="24"/>
    <s v="Islamabad"/>
  </r>
  <r>
    <s v="O269"/>
    <s v="C002"/>
    <s v="P11"/>
    <n v="1"/>
    <d v="2026-08-13T00:00:00"/>
    <x v="0"/>
    <x v="7"/>
    <x v="1"/>
    <n v="110"/>
    <x v="18"/>
    <x v="3"/>
    <x v="2"/>
    <n v="110"/>
    <s v="Karachi"/>
  </r>
  <r>
    <s v="O270"/>
    <s v="C039"/>
    <s v="P06"/>
    <n v="4"/>
    <d v="2026-08-13T00:00:00"/>
    <x v="1"/>
    <x v="8"/>
    <x v="2"/>
    <n v="30"/>
    <x v="19"/>
    <x v="2"/>
    <x v="0"/>
    <n v="120"/>
    <s v="Lahore"/>
  </r>
  <r>
    <s v="O271"/>
    <s v="C016"/>
    <s v="P14"/>
    <n v="2"/>
    <d v="2026-08-14T00:00:00"/>
    <x v="0"/>
    <x v="9"/>
    <x v="1"/>
    <n v="95"/>
    <x v="20"/>
    <x v="1"/>
    <x v="1"/>
    <n v="190"/>
    <s v="Rawalpindi"/>
  </r>
  <r>
    <s v="O272"/>
    <s v="C031"/>
    <s v="P09"/>
    <n v="1"/>
    <d v="2026-08-14T00:00:00"/>
    <x v="0"/>
    <x v="11"/>
    <x v="2"/>
    <n v="25"/>
    <x v="21"/>
    <x v="4"/>
    <x v="1"/>
    <n v="25"/>
    <s v="Lahore"/>
  </r>
  <r>
    <s v="O273"/>
    <s v="C048"/>
    <s v="P02"/>
    <n v="3"/>
    <d v="2026-08-15T00:00:00"/>
    <x v="0"/>
    <x v="6"/>
    <x v="0"/>
    <n v="45"/>
    <x v="22"/>
    <x v="2"/>
    <x v="0"/>
    <n v="135"/>
    <s v="Lahore"/>
  </r>
  <r>
    <s v="O274"/>
    <s v="C009"/>
    <s v="P13"/>
    <n v="2"/>
    <d v="2026-08-15T00:00:00"/>
    <x v="0"/>
    <x v="12"/>
    <x v="1"/>
    <n v="120"/>
    <x v="23"/>
    <x v="4"/>
    <x v="0"/>
    <n v="240"/>
    <s v="Islamabad"/>
  </r>
  <r>
    <s v="O275"/>
    <s v="C025"/>
    <s v="P05"/>
    <n v="1"/>
    <d v="2026-08-16T00:00:00"/>
    <x v="0"/>
    <x v="0"/>
    <x v="0"/>
    <n v="40"/>
    <x v="24"/>
    <x v="2"/>
    <x v="1"/>
    <n v="40"/>
    <s v="Rawalpindi"/>
  </r>
  <r>
    <s v="O276"/>
    <s v="C042"/>
    <s v="P10"/>
    <n v="4"/>
    <d v="2026-08-16T00:00:00"/>
    <x v="0"/>
    <x v="14"/>
    <x v="2"/>
    <n v="40"/>
    <x v="25"/>
    <x v="0"/>
    <x v="0"/>
    <n v="160"/>
    <s v="Faisalabad"/>
  </r>
  <r>
    <s v="O277"/>
    <s v="C014"/>
    <s v="P07"/>
    <n v="2"/>
    <d v="2026-08-17T00:00:00"/>
    <x v="0"/>
    <x v="5"/>
    <x v="2"/>
    <n v="15"/>
    <x v="26"/>
    <x v="1"/>
    <x v="2"/>
    <n v="30"/>
    <s v="Karachi"/>
  </r>
  <r>
    <s v="O278"/>
    <s v="C036"/>
    <s v="P04"/>
    <n v="1"/>
    <d v="2026-08-17T00:00:00"/>
    <x v="0"/>
    <x v="13"/>
    <x v="0"/>
    <n v="95"/>
    <x v="27"/>
    <x v="3"/>
    <x v="0"/>
    <n v="95"/>
    <s v="Karachi"/>
  </r>
  <r>
    <s v="O279"/>
    <s v="C001"/>
    <s v="P08"/>
    <n v="3"/>
    <d v="2026-08-18T00:00:00"/>
    <x v="0"/>
    <x v="3"/>
    <x v="2"/>
    <n v="35"/>
    <x v="28"/>
    <x v="1"/>
    <x v="1"/>
    <n v="105"/>
    <s v="Islamabad"/>
  </r>
  <r>
    <s v="O280"/>
    <s v="C027"/>
    <s v="P12"/>
    <n v="2"/>
    <d v="2026-08-18T00:00:00"/>
    <x v="0"/>
    <x v="1"/>
    <x v="1"/>
    <n v="150"/>
    <x v="29"/>
    <x v="3"/>
    <x v="0"/>
    <n v="300"/>
    <s v="Lahore"/>
  </r>
  <r>
    <s v="O281"/>
    <s v="C050"/>
    <s v="P03"/>
    <n v="1"/>
    <d v="2026-08-19T00:00:00"/>
    <x v="0"/>
    <x v="2"/>
    <x v="0"/>
    <n v="12"/>
    <x v="30"/>
    <x v="3"/>
    <x v="2"/>
    <n v="12"/>
    <s v="Islamabad"/>
  </r>
  <r>
    <s v="O282"/>
    <s v="C013"/>
    <s v="P11"/>
    <n v="4"/>
    <d v="2026-08-19T00:00:00"/>
    <x v="0"/>
    <x v="7"/>
    <x v="1"/>
    <n v="110"/>
    <x v="31"/>
    <x v="2"/>
    <x v="1"/>
    <n v="440"/>
    <s v="Karachi"/>
  </r>
  <r>
    <s v="O283"/>
    <s v="C038"/>
    <s v="P06"/>
    <n v="2"/>
    <d v="2026-08-20T00:00:00"/>
    <x v="0"/>
    <x v="8"/>
    <x v="2"/>
    <n v="30"/>
    <x v="32"/>
    <x v="4"/>
    <x v="2"/>
    <n v="60"/>
    <s v="Lahore"/>
  </r>
  <r>
    <s v="O284"/>
    <s v="C004"/>
    <s v="P14"/>
    <n v="1"/>
    <d v="2026-08-20T00:00:00"/>
    <x v="1"/>
    <x v="9"/>
    <x v="1"/>
    <n v="95"/>
    <x v="33"/>
    <x v="1"/>
    <x v="1"/>
    <n v="95"/>
    <s v="Rawalpindi"/>
  </r>
  <r>
    <s v="O285"/>
    <s v="C023"/>
    <s v="P09"/>
    <n v="3"/>
    <d v="2026-08-21T00:00:00"/>
    <x v="0"/>
    <x v="11"/>
    <x v="2"/>
    <n v="25"/>
    <x v="34"/>
    <x v="1"/>
    <x v="2"/>
    <n v="75"/>
    <s v="Lahore"/>
  </r>
  <r>
    <s v="O286"/>
    <s v="C046"/>
    <s v="P02"/>
    <n v="2"/>
    <d v="2026-08-21T00:00:00"/>
    <x v="0"/>
    <x v="6"/>
    <x v="0"/>
    <n v="45"/>
    <x v="35"/>
    <x v="3"/>
    <x v="1"/>
    <n v="90"/>
    <s v="Lahore"/>
  </r>
  <r>
    <s v="O287"/>
    <s v="C010"/>
    <s v="P13"/>
    <n v="1"/>
    <d v="2026-08-22T00:00:00"/>
    <x v="0"/>
    <x v="12"/>
    <x v="1"/>
    <n v="120"/>
    <x v="36"/>
    <x v="3"/>
    <x v="1"/>
    <n v="120"/>
    <s v="Islamabad"/>
  </r>
  <r>
    <s v="O288"/>
    <s v="C032"/>
    <s v="P05"/>
    <n v="4"/>
    <d v="2026-08-22T00:00:00"/>
    <x v="0"/>
    <x v="0"/>
    <x v="0"/>
    <n v="40"/>
    <x v="37"/>
    <x v="3"/>
    <x v="2"/>
    <n v="160"/>
    <s v="Rawalpindi"/>
  </r>
  <r>
    <s v="O289"/>
    <s v="C019"/>
    <s v="P10"/>
    <n v="2"/>
    <d v="2026-08-23T00:00:00"/>
    <x v="0"/>
    <x v="14"/>
    <x v="2"/>
    <n v="40"/>
    <x v="38"/>
    <x v="0"/>
    <x v="1"/>
    <n v="80"/>
    <s v="Faisalabad"/>
  </r>
  <r>
    <s v="O290"/>
    <s v="C043"/>
    <s v="P07"/>
    <n v="1"/>
    <d v="2026-08-23T00:00:00"/>
    <x v="0"/>
    <x v="5"/>
    <x v="2"/>
    <n v="15"/>
    <x v="39"/>
    <x v="3"/>
    <x v="1"/>
    <n v="15"/>
    <s v="Karachi"/>
  </r>
  <r>
    <s v="O291"/>
    <s v="C007"/>
    <s v="P04"/>
    <n v="3"/>
    <d v="2026-08-24T00:00:00"/>
    <x v="0"/>
    <x v="13"/>
    <x v="0"/>
    <n v="95"/>
    <x v="2"/>
    <x v="1"/>
    <x v="1"/>
    <n v="285"/>
    <s v="Karachi"/>
  </r>
  <r>
    <s v="O292"/>
    <s v="C030"/>
    <s v="P08"/>
    <n v="2"/>
    <d v="2026-08-24T00:00:00"/>
    <x v="0"/>
    <x v="3"/>
    <x v="2"/>
    <n v="35"/>
    <x v="40"/>
    <x v="1"/>
    <x v="0"/>
    <n v="70"/>
    <s v="Islamabad"/>
  </r>
  <r>
    <s v="O293"/>
    <s v="C047"/>
    <s v="P12"/>
    <n v="1"/>
    <d v="2026-08-25T00:00:00"/>
    <x v="0"/>
    <x v="1"/>
    <x v="1"/>
    <n v="150"/>
    <x v="41"/>
    <x v="0"/>
    <x v="2"/>
    <n v="150"/>
    <s v="Lahore"/>
  </r>
  <r>
    <s v="O294"/>
    <s v="C005"/>
    <s v="P03"/>
    <n v="4"/>
    <d v="2026-08-25T00:00:00"/>
    <x v="0"/>
    <x v="2"/>
    <x v="0"/>
    <n v="12"/>
    <x v="42"/>
    <x v="0"/>
    <x v="2"/>
    <n v="48"/>
    <s v="Islamabad"/>
  </r>
  <r>
    <s v="O295"/>
    <s v="C024"/>
    <s v="P11"/>
    <n v="2"/>
    <d v="2026-08-26T00:00:00"/>
    <x v="0"/>
    <x v="7"/>
    <x v="1"/>
    <n v="110"/>
    <x v="43"/>
    <x v="0"/>
    <x v="0"/>
    <n v="220"/>
    <s v="Karachi"/>
  </r>
  <r>
    <s v="O296"/>
    <s v="C040"/>
    <s v="P06"/>
    <n v="1"/>
    <d v="2026-08-26T00:00:00"/>
    <x v="0"/>
    <x v="8"/>
    <x v="2"/>
    <n v="30"/>
    <x v="44"/>
    <x v="3"/>
    <x v="1"/>
    <n v="30"/>
    <s v="Lahore"/>
  </r>
  <r>
    <s v="O297"/>
    <s v="C017"/>
    <s v="P14"/>
    <n v="3"/>
    <d v="2026-08-27T00:00:00"/>
    <x v="0"/>
    <x v="9"/>
    <x v="1"/>
    <n v="95"/>
    <x v="45"/>
    <x v="4"/>
    <x v="2"/>
    <n v="285"/>
    <s v="Rawalpindi"/>
  </r>
  <r>
    <s v="O298"/>
    <s v="C035"/>
    <s v="P09"/>
    <n v="2"/>
    <d v="2026-08-27T00:00:00"/>
    <x v="0"/>
    <x v="11"/>
    <x v="2"/>
    <n v="25"/>
    <x v="46"/>
    <x v="2"/>
    <x v="2"/>
    <n v="50"/>
    <s v="Lahore"/>
  </r>
  <r>
    <s v="O299"/>
    <s v="C026"/>
    <s v="P02"/>
    <n v="1"/>
    <d v="2026-08-28T00:00:00"/>
    <x v="0"/>
    <x v="6"/>
    <x v="0"/>
    <n v="45"/>
    <x v="47"/>
    <x v="1"/>
    <x v="2"/>
    <n v="45"/>
    <s v="Lahore"/>
  </r>
  <r>
    <s v="O300"/>
    <s v="C049"/>
    <s v="P13"/>
    <n v="4"/>
    <d v="2026-08-28T00:00:00"/>
    <x v="0"/>
    <x v="12"/>
    <x v="1"/>
    <n v="120"/>
    <x v="48"/>
    <x v="1"/>
    <x v="1"/>
    <n v="480"/>
    <s v="Islamaba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6BDCB-DE94-4DB8-9EA8-C36A324093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5" firstHeaderRow="1" firstDataRow="1" firstDataCol="1"/>
  <pivotFields count="15">
    <pivotField showAll="0"/>
    <pivotField showAll="0"/>
    <pivotField showAll="0"/>
    <pivotField showAll="0"/>
    <pivotField numFmtId="15" showAll="0"/>
    <pivotField showAll="0">
      <items count="4">
        <item x="0"/>
        <item x="2"/>
        <item x="1"/>
        <item t="default"/>
      </items>
    </pivotField>
    <pivotField showAll="0">
      <items count="16">
        <item x="1"/>
        <item x="12"/>
        <item x="13"/>
        <item x="7"/>
        <item x="8"/>
        <item x="3"/>
        <item x="4"/>
        <item x="0"/>
        <item x="11"/>
        <item x="14"/>
        <item x="2"/>
        <item x="9"/>
        <item x="10"/>
        <item x="5"/>
        <item x="6"/>
        <item t="default"/>
      </items>
    </pivotField>
    <pivotField axis="axisRow" showAll="0">
      <items count="4">
        <item h="1" x="2"/>
        <item h="1" x="0"/>
        <item x="1"/>
        <item t="default"/>
      </items>
    </pivotField>
    <pivotField showAll="0"/>
    <pivotField showAll="0">
      <items count="50">
        <item x="28"/>
        <item x="40"/>
        <item x="11"/>
        <item x="6"/>
        <item x="34"/>
        <item x="10"/>
        <item x="23"/>
        <item x="5"/>
        <item x="14"/>
        <item x="45"/>
        <item x="3"/>
        <item x="8"/>
        <item x="33"/>
        <item x="16"/>
        <item x="44"/>
        <item x="26"/>
        <item x="43"/>
        <item x="25"/>
        <item x="24"/>
        <item x="29"/>
        <item x="21"/>
        <item x="47"/>
        <item x="37"/>
        <item x="0"/>
        <item x="4"/>
        <item x="32"/>
        <item x="22"/>
        <item x="36"/>
        <item x="12"/>
        <item x="2"/>
        <item x="15"/>
        <item x="20"/>
        <item x="1"/>
        <item x="41"/>
        <item x="31"/>
        <item x="27"/>
        <item x="7"/>
        <item x="18"/>
        <item x="30"/>
        <item x="39"/>
        <item x="35"/>
        <item x="9"/>
        <item x="17"/>
        <item x="42"/>
        <item x="46"/>
        <item x="13"/>
        <item x="19"/>
        <item x="48"/>
        <item x="38"/>
        <item t="default"/>
      </items>
    </pivotField>
    <pivotField showAll="0">
      <items count="6">
        <item x="4"/>
        <item x="2"/>
        <item x="1"/>
        <item x="3"/>
        <item x="0"/>
        <item t="default"/>
      </items>
    </pivotField>
    <pivotField showAll="0">
      <items count="4">
        <item x="0"/>
        <item x="1"/>
        <item x="2"/>
        <item t="default"/>
      </items>
    </pivotField>
    <pivotField dataField="1" showAll="0"/>
    <pivotField showAll="0"/>
    <pivotField dragToRow="0" dragToCol="0" dragToPage="0" showAll="0" defaultSubtotal="0"/>
  </pivotFields>
  <rowFields count="1">
    <field x="7"/>
  </rowFields>
  <rowItems count="2">
    <i>
      <x v="2"/>
    </i>
    <i t="grand">
      <x/>
    </i>
  </rowItems>
  <colItems count="1">
    <i/>
  </colItems>
  <dataFields count="1">
    <dataField name="Sum of Total_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6801DD-696B-4AA0-B599-E2A72E39146E}"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93:D100" firstHeaderRow="1" firstDataRow="2" firstDataCol="1"/>
  <pivotFields count="15">
    <pivotField dataField="1" showAll="0"/>
    <pivotField showAll="0"/>
    <pivotField showAll="0"/>
    <pivotField showAll="0"/>
    <pivotField numFmtId="15" showAll="0"/>
    <pivotField axis="axisCol" showAll="0">
      <items count="4">
        <item x="0"/>
        <item x="2"/>
        <item x="1"/>
        <item t="default"/>
      </items>
    </pivotField>
    <pivotField showAll="0"/>
    <pivotField showAll="0">
      <items count="4">
        <item h="1" x="2"/>
        <item h="1" x="0"/>
        <item x="1"/>
        <item t="default"/>
      </items>
    </pivotField>
    <pivotField showAll="0"/>
    <pivotField showAll="0"/>
    <pivotField axis="axisRow" showAll="0">
      <items count="6">
        <item x="4"/>
        <item x="2"/>
        <item x="1"/>
        <item x="3"/>
        <item x="0"/>
        <item t="default"/>
      </items>
    </pivotField>
    <pivotField showAll="0"/>
    <pivotField showAll="0"/>
    <pivotField showAll="0"/>
    <pivotField dragToRow="0" dragToCol="0" dragToPage="0" showAll="0" defaultSubtotal="0"/>
  </pivotFields>
  <rowFields count="1">
    <field x="10"/>
  </rowFields>
  <rowItems count="6">
    <i>
      <x/>
    </i>
    <i>
      <x v="1"/>
    </i>
    <i>
      <x v="2"/>
    </i>
    <i>
      <x v="3"/>
    </i>
    <i>
      <x v="4"/>
    </i>
    <i t="grand">
      <x/>
    </i>
  </rowItems>
  <colFields count="1">
    <field x="5"/>
  </colFields>
  <colItems count="3">
    <i>
      <x/>
    </i>
    <i>
      <x v="1"/>
    </i>
    <i>
      <x v="2"/>
    </i>
  </colItems>
  <dataFields count="1">
    <dataField name="Count of Order_ID" fld="0" subtotal="count" showDataAs="percentOfRow" baseField="10" baseItem="0" numFmtId="10"/>
  </dataFields>
  <chartFormats count="4">
    <chartFormat chart="22" format="3" series="1">
      <pivotArea type="data" outline="0" fieldPosition="0">
        <references count="2">
          <reference field="4294967294" count="1" selected="0">
            <x v="0"/>
          </reference>
          <reference field="5" count="1" selected="0">
            <x v="0"/>
          </reference>
        </references>
      </pivotArea>
    </chartFormat>
    <chartFormat chart="22" format="4" series="1">
      <pivotArea type="data" outline="0" fieldPosition="0">
        <references count="2">
          <reference field="4294967294" count="1" selected="0">
            <x v="0"/>
          </reference>
          <reference field="5" count="1" selected="0">
            <x v="1"/>
          </reference>
        </references>
      </pivotArea>
    </chartFormat>
    <chartFormat chart="22" format="5" series="1">
      <pivotArea type="data" outline="0" fieldPosition="0">
        <references count="2">
          <reference field="4294967294" count="1" selected="0">
            <x v="0"/>
          </reference>
          <reference field="5" count="1" selected="0">
            <x v="2"/>
          </reference>
        </references>
      </pivotArea>
    </chartFormat>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296774-7D85-4CB9-8BBA-92CDB9309C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5">
    <pivotField showAll="0"/>
    <pivotField showAll="0"/>
    <pivotField showAll="0"/>
    <pivotField dataField="1" showAll="0"/>
    <pivotField numFmtId="15" showAll="0"/>
    <pivotField showAll="0">
      <items count="4">
        <item x="0"/>
        <item x="2"/>
        <item x="1"/>
        <item t="default"/>
      </items>
    </pivotField>
    <pivotField showAll="0"/>
    <pivotField showAll="0">
      <items count="4">
        <item h="1" x="2"/>
        <item h="1" x="0"/>
        <item x="1"/>
        <item t="default"/>
      </items>
    </pivotField>
    <pivotField showAll="0"/>
    <pivotField showAll="0"/>
    <pivotField axis="axisRow" showAll="0">
      <items count="6">
        <item x="4"/>
        <item x="2"/>
        <item x="1"/>
        <item x="3"/>
        <item x="0"/>
        <item t="default"/>
      </items>
    </pivotField>
    <pivotField showAll="0"/>
    <pivotField showAll="0"/>
    <pivotField showAll="0"/>
    <pivotField dragToRow="0" dragToCol="0" dragToPage="0" showAll="0" defaultSubtotal="0"/>
  </pivotFields>
  <rowFields count="1">
    <field x="10"/>
  </rowFields>
  <rowItems count="6">
    <i>
      <x/>
    </i>
    <i>
      <x v="1"/>
    </i>
    <i>
      <x v="2"/>
    </i>
    <i>
      <x v="3"/>
    </i>
    <i>
      <x v="4"/>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87B59B-34B0-440F-A553-D52CB1E291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B27" firstHeaderRow="1" firstDataRow="1" firstDataCol="1"/>
  <pivotFields count="15">
    <pivotField showAll="0"/>
    <pivotField showAll="0"/>
    <pivotField showAll="0"/>
    <pivotField showAll="0"/>
    <pivotField numFmtId="15" showAll="0"/>
    <pivotField showAll="0">
      <items count="4">
        <item x="0"/>
        <item x="2"/>
        <item x="1"/>
        <item t="default"/>
      </items>
    </pivotField>
    <pivotField showAll="0"/>
    <pivotField showAll="0" sortType="descending">
      <items count="4">
        <item h="1" x="2"/>
        <item h="1" x="0"/>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ragToRow="0" dragToCol="0" dragToPage="0" showAll="0" defaultSubtotal="0"/>
  </pivotFields>
  <rowFields count="1">
    <field x="10"/>
  </rowFields>
  <rowItems count="6">
    <i>
      <x v="2"/>
    </i>
    <i>
      <x v="3"/>
    </i>
    <i>
      <x v="1"/>
    </i>
    <i>
      <x v="4"/>
    </i>
    <i>
      <x/>
    </i>
    <i t="grand">
      <x/>
    </i>
  </rowItems>
  <colItems count="1">
    <i/>
  </colItems>
  <dataFields count="1">
    <dataField name="Sum of Total_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A021D0-3B23-4B48-8C19-96ADB38B2B5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94:H100" firstHeaderRow="1" firstDataRow="1" firstDataCol="1"/>
  <pivotFields count="15">
    <pivotField showAll="0"/>
    <pivotField showAll="0"/>
    <pivotField showAll="0"/>
    <pivotField showAll="0"/>
    <pivotField numFmtId="15" showAll="0"/>
    <pivotField showAll="0">
      <items count="4">
        <item x="0"/>
        <item x="2"/>
        <item x="1"/>
        <item t="default"/>
      </items>
    </pivotField>
    <pivotField axis="axisRow" showAll="0" measureFilter="1" sortType="descending">
      <items count="16">
        <item x="1"/>
        <item x="12"/>
        <item x="13"/>
        <item x="7"/>
        <item x="8"/>
        <item x="3"/>
        <item x="4"/>
        <item x="0"/>
        <item x="11"/>
        <item x="14"/>
        <item x="2"/>
        <item x="9"/>
        <item x="10"/>
        <item x="5"/>
        <item x="6"/>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items count="6">
        <item x="4"/>
        <item x="2"/>
        <item x="1"/>
        <item x="3"/>
        <item x="0"/>
        <item t="default"/>
      </items>
    </pivotField>
    <pivotField showAll="0"/>
    <pivotField dataField="1" showAll="0"/>
    <pivotField showAll="0"/>
    <pivotField dragToRow="0" dragToCol="0" dragToPage="0" showAll="0" defaultSubtotal="0"/>
  </pivotFields>
  <rowFields count="1">
    <field x="6"/>
  </rowFields>
  <rowItems count="6">
    <i>
      <x/>
    </i>
    <i>
      <x v="1"/>
    </i>
    <i>
      <x v="3"/>
    </i>
    <i>
      <x v="11"/>
    </i>
    <i>
      <x v="6"/>
    </i>
    <i t="grand">
      <x/>
    </i>
  </rowItems>
  <colItems count="1">
    <i/>
  </colItems>
  <dataFields count="1">
    <dataField name="Sum of Total_Revenue" fld="12" baseField="0" baseItem="0"/>
  </dataFields>
  <chartFormats count="1">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3E9A4F-6201-4890-AA3B-949AA63071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4:B90" firstHeaderRow="1" firstDataRow="1" firstDataCol="1"/>
  <pivotFields count="15">
    <pivotField showAll="0"/>
    <pivotField showAll="0"/>
    <pivotField showAll="0"/>
    <pivotField showAll="0"/>
    <pivotField numFmtId="15" showAll="0"/>
    <pivotField showAll="0">
      <items count="4">
        <item x="0"/>
        <item x="2"/>
        <item x="1"/>
        <item t="default"/>
      </items>
    </pivotField>
    <pivotField showAll="0"/>
    <pivotField showAll="0">
      <items count="4">
        <item h="1" x="2"/>
        <item h="1" x="0"/>
        <item x="1"/>
        <item t="default"/>
      </items>
    </pivotField>
    <pivotField showAll="0"/>
    <pivotField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ragToRow="0" dragToCol="0" dragToPage="0" showAll="0" defaultSubtotal="0"/>
  </pivotFields>
  <rowFields count="1">
    <field x="10"/>
  </rowFields>
  <rowItems count="6">
    <i>
      <x v="2"/>
    </i>
    <i>
      <x v="3"/>
    </i>
    <i>
      <x v="1"/>
    </i>
    <i>
      <x v="4"/>
    </i>
    <i>
      <x/>
    </i>
    <i t="grand">
      <x/>
    </i>
  </rowItems>
  <colItems count="1">
    <i/>
  </colItems>
  <dataFields count="1">
    <dataField name="Sum of Total_Revenue" fld="12" baseField="0" baseItem="0"/>
  </dataFields>
  <chartFormats count="2">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8869AA-6E02-47DA-9CE1-CD8F07A858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4:B60" firstHeaderRow="1" firstDataRow="1" firstDataCol="1"/>
  <pivotFields count="15">
    <pivotField showAll="0"/>
    <pivotField showAll="0"/>
    <pivotField showAll="0"/>
    <pivotField showAll="0"/>
    <pivotField numFmtId="15" showAll="0"/>
    <pivotField showAll="0">
      <items count="4">
        <item x="0"/>
        <item x="2"/>
        <item x="1"/>
        <item t="default"/>
      </items>
    </pivotField>
    <pivotField axis="axisRow" showAll="0" measureFilter="1" sortType="descending">
      <items count="16">
        <item x="1"/>
        <item x="12"/>
        <item x="13"/>
        <item x="7"/>
        <item x="8"/>
        <item x="3"/>
        <item x="4"/>
        <item x="0"/>
        <item x="11"/>
        <item x="14"/>
        <item x="2"/>
        <item x="9"/>
        <item x="10"/>
        <item x="5"/>
        <item x="6"/>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items count="6">
        <item x="4"/>
        <item x="2"/>
        <item x="1"/>
        <item x="3"/>
        <item x="0"/>
        <item t="default"/>
      </items>
    </pivotField>
    <pivotField showAll="0"/>
    <pivotField dataField="1" showAll="0"/>
    <pivotField showAll="0"/>
    <pivotField dragToRow="0" dragToCol="0" dragToPage="0" showAll="0" defaultSubtotal="0"/>
  </pivotFields>
  <rowFields count="1">
    <field x="6"/>
  </rowFields>
  <rowItems count="6">
    <i>
      <x/>
    </i>
    <i>
      <x v="1"/>
    </i>
    <i>
      <x v="3"/>
    </i>
    <i>
      <x v="11"/>
    </i>
    <i>
      <x v="6"/>
    </i>
    <i t="grand">
      <x/>
    </i>
  </rowItems>
  <colItems count="1">
    <i/>
  </colItems>
  <dataFields count="1">
    <dataField name="Sum of Total_Revenue" fld="12"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D04AF7-3458-45AB-9012-6F07DC0774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86:H88" firstHeaderRow="1" firstDataRow="1" firstDataCol="1"/>
  <pivotFields count="15">
    <pivotField showAll="0"/>
    <pivotField showAll="0"/>
    <pivotField showAll="0"/>
    <pivotField showAll="0"/>
    <pivotField numFmtId="15" showAll="0"/>
    <pivotField showAll="0">
      <items count="4">
        <item x="0"/>
        <item x="2"/>
        <item x="1"/>
        <item t="default"/>
      </items>
    </pivotField>
    <pivotField showAll="0"/>
    <pivotField axis="axisRow" showAll="0">
      <items count="4">
        <item h="1" x="2"/>
        <item h="1" x="0"/>
        <item x="1"/>
        <item t="default"/>
      </items>
    </pivotField>
    <pivotField showAll="0"/>
    <pivotField showAll="0"/>
    <pivotField showAll="0">
      <items count="6">
        <item x="4"/>
        <item x="2"/>
        <item x="1"/>
        <item x="3"/>
        <item x="0"/>
        <item t="default"/>
      </items>
    </pivotField>
    <pivotField showAll="0"/>
    <pivotField dataField="1" showAll="0"/>
    <pivotField showAll="0"/>
    <pivotField dragToRow="0" dragToCol="0" dragToPage="0" showAll="0" defaultSubtotal="0"/>
  </pivotFields>
  <rowFields count="1">
    <field x="7"/>
  </rowFields>
  <rowItems count="2">
    <i>
      <x v="2"/>
    </i>
    <i t="grand">
      <x/>
    </i>
  </rowItems>
  <colItems count="1">
    <i/>
  </colItems>
  <dataFields count="1">
    <dataField name="Sum of Total_Revenue" fld="12" showDataAs="percentOfTotal" baseField="7" baseItem="0" numFmtId="10"/>
  </dataField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5"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BC00CF-6E98-4AAF-88E9-21F7726262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4:B78" firstHeaderRow="1" firstDataRow="1" firstDataCol="1"/>
  <pivotFields count="15">
    <pivotField showAll="0"/>
    <pivotField showAll="0"/>
    <pivotField showAll="0"/>
    <pivotField showAll="0"/>
    <pivotField numFmtId="15" showAll="0"/>
    <pivotField showAll="0">
      <items count="4">
        <item x="0"/>
        <item x="2"/>
        <item x="1"/>
        <item t="default"/>
      </items>
    </pivotField>
    <pivotField showAll="0"/>
    <pivotField showAll="0">
      <items count="4">
        <item h="1" x="2"/>
        <item h="1" x="0"/>
        <item x="1"/>
        <item t="default"/>
      </items>
    </pivotField>
    <pivotField showAll="0"/>
    <pivotField showAll="0"/>
    <pivotField showAll="0">
      <items count="6">
        <item x="4"/>
        <item x="2"/>
        <item x="1"/>
        <item x="3"/>
        <item x="0"/>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dragToRow="0" dragToCol="0" dragToPage="0" showAll="0" defaultSubtotal="0"/>
  </pivotFields>
  <rowFields count="1">
    <field x="11"/>
  </rowFields>
  <rowItems count="4">
    <i>
      <x v="1"/>
    </i>
    <i>
      <x/>
    </i>
    <i>
      <x v="2"/>
    </i>
    <i t="grand">
      <x/>
    </i>
  </rowItems>
  <colItems count="1">
    <i/>
  </colItems>
  <dataFields count="1">
    <dataField name="Sum of Total_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6CA913-64C5-46FE-A6C1-C3E4361D9AD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4:M85" firstHeaderRow="0" firstDataRow="1" firstDataCol="0" rowPageCount="1" colPageCount="1"/>
  <pivotFields count="15">
    <pivotField dataField="1" showAll="0"/>
    <pivotField showAll="0"/>
    <pivotField showAll="0"/>
    <pivotField dataField="1" showAll="0"/>
    <pivotField numFmtId="15" showAll="0"/>
    <pivotField axis="axisPage" showAll="0">
      <items count="4">
        <item x="0"/>
        <item x="2"/>
        <item x="1"/>
        <item t="default"/>
      </items>
    </pivotField>
    <pivotField showAll="0"/>
    <pivotField showAll="0">
      <items count="4">
        <item h="1" x="2"/>
        <item h="1" x="0"/>
        <item x="1"/>
        <item t="default"/>
      </items>
    </pivotField>
    <pivotField showAll="0"/>
    <pivotField showAll="0"/>
    <pivotField showAll="0">
      <items count="6">
        <item x="4"/>
        <item x="2"/>
        <item x="1"/>
        <item x="3"/>
        <item x="0"/>
        <item t="default"/>
      </items>
    </pivotField>
    <pivotField showAll="0"/>
    <pivotField dataField="1" showAll="0"/>
    <pivotField showAll="0"/>
    <pivotField dragToRow="0" dragToCol="0" dragToPage="0" showAll="0" defaultSubtotal="0"/>
  </pivotFields>
  <rowItems count="1">
    <i/>
  </rowItems>
  <colFields count="1">
    <field x="-2"/>
  </colFields>
  <colItems count="3">
    <i>
      <x/>
    </i>
    <i i="1">
      <x v="1"/>
    </i>
    <i i="2">
      <x v="2"/>
    </i>
  </colItems>
  <pageFields count="1">
    <pageField fld="5" hier="-1"/>
  </pageFields>
  <dataFields count="3">
    <dataField name="Sum of Total_Revenue" fld="12" baseField="0" baseItem="0"/>
    <dataField name="Count of Order_ID" fld="0" subtotal="count" baseField="0" baseItem="0"/>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BF639C-5BBB-4488-982F-5919756BAE34}"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4">
  <location ref="A33:D40" firstHeaderRow="1" firstDataRow="2" firstDataCol="1"/>
  <pivotFields count="15">
    <pivotField dataField="1" showAll="0"/>
    <pivotField showAll="0"/>
    <pivotField showAll="0"/>
    <pivotField showAll="0"/>
    <pivotField numFmtId="15" showAll="0"/>
    <pivotField axis="axisCol" showAll="0">
      <items count="4">
        <item x="0"/>
        <item x="2"/>
        <item x="1"/>
        <item t="default"/>
      </items>
    </pivotField>
    <pivotField showAll="0"/>
    <pivotField showAll="0">
      <items count="4">
        <item h="1" x="2"/>
        <item h="1" x="0"/>
        <item x="1"/>
        <item t="default"/>
      </items>
    </pivotField>
    <pivotField showAll="0"/>
    <pivotField showAll="0"/>
    <pivotField axis="axisRow" showAll="0">
      <items count="6">
        <item x="4"/>
        <item x="2"/>
        <item x="1"/>
        <item x="3"/>
        <item x="0"/>
        <item t="default"/>
      </items>
    </pivotField>
    <pivotField showAll="0"/>
    <pivotField showAll="0"/>
    <pivotField showAll="0"/>
    <pivotField dragToRow="0" dragToCol="0" dragToPage="0" showAll="0" defaultSubtotal="0"/>
  </pivotFields>
  <rowFields count="1">
    <field x="10"/>
  </rowFields>
  <rowItems count="6">
    <i>
      <x/>
    </i>
    <i>
      <x v="1"/>
    </i>
    <i>
      <x v="2"/>
    </i>
    <i>
      <x v="3"/>
    </i>
    <i>
      <x v="4"/>
    </i>
    <i t="grand">
      <x/>
    </i>
  </rowItems>
  <colFields count="1">
    <field x="5"/>
  </colFields>
  <colItems count="3">
    <i>
      <x/>
    </i>
    <i>
      <x v="1"/>
    </i>
    <i>
      <x v="2"/>
    </i>
  </colItems>
  <dataFields count="1">
    <dataField name="Count of Order_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618171-6496-49AE-BFDD-A8DEAA0D294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3:B107" firstHeaderRow="1" firstDataRow="1" firstDataCol="1"/>
  <pivotFields count="15">
    <pivotField showAll="0"/>
    <pivotField showAll="0"/>
    <pivotField showAll="0"/>
    <pivotField showAll="0"/>
    <pivotField numFmtId="15" showAll="0"/>
    <pivotField showAll="0">
      <items count="4">
        <item x="0"/>
        <item x="2"/>
        <item x="1"/>
        <item t="default"/>
      </items>
    </pivotField>
    <pivotField showAll="0"/>
    <pivotField showAll="0">
      <items count="4">
        <item h="1" x="2"/>
        <item h="1" x="0"/>
        <item x="1"/>
        <item t="default"/>
      </items>
    </pivotField>
    <pivotField showAll="0"/>
    <pivotField showAll="0"/>
    <pivotField showAll="0">
      <items count="6">
        <item x="4"/>
        <item x="2"/>
        <item x="1"/>
        <item x="3"/>
        <item x="0"/>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dragToRow="0" dragToCol="0" dragToPage="0" showAll="0" defaultSubtotal="0"/>
  </pivotFields>
  <rowFields count="1">
    <field x="11"/>
  </rowFields>
  <rowItems count="4">
    <i>
      <x v="1"/>
    </i>
    <i>
      <x/>
    </i>
    <i>
      <x v="2"/>
    </i>
    <i t="grand">
      <x/>
    </i>
  </rowItems>
  <colItems count="1">
    <i/>
  </colItems>
  <dataFields count="1">
    <dataField name="Sum of Total_Revenue" fld="12" showDataAs="percentOfTotal" baseField="11" baseItem="0" numFmtId="10"/>
  </dataFields>
  <chartFormats count="3">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1" count="1" selected="0">
            <x v="2"/>
          </reference>
        </references>
      </pivotArea>
    </chartFormat>
    <chartFormat chart="5" format="3">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0BA3A23-7580-4925-AE26-E85751754FC7}" sourceName="Status">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 tabId="4" name="PivotTable12"/>
  </pivotTables>
  <data>
    <tabular pivotCacheId="125045442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8C8F4C8-AD95-4B3B-A0D1-BC097944FF30}" sourceName="Category">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 tabId="4" name="PivotTable12"/>
  </pivotTables>
  <data>
    <tabular pivotCacheId="1250454423">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 xr10:uid="{44A77BDC-C8AE-4C59-92FA-131438A05735}" sourceName="Customer_City">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 tabId="4" name="PivotTable9"/>
    <pivotTable tabId="4" name="PivotTable12"/>
  </pivotTables>
  <data>
    <tabular pivotCacheId="1250454423">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D6EAA877-259D-4257-ADD6-A939D9E5A105}" cache="Slicer_Status" caption="Status" rowHeight="241300"/>
  <slicer name="Category" xr10:uid="{B6018E9B-DA74-40B2-84BD-E376AAFC3DA8}" cache="Slicer_Category" caption="Category" rowHeight="241300"/>
  <slicer name="Customer_City" xr10:uid="{619B61D7-2A67-4D08-9E06-C9B939FF2CC5}" cache="Slicer_Customer_City" caption="C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53D16-84CA-469B-88F9-39DCDC4AA910}">
  <dimension ref="A1:Q301"/>
  <sheetViews>
    <sheetView topLeftCell="D1" zoomScale="90" zoomScaleNormal="90" workbookViewId="0">
      <selection activeCell="Q4" sqref="Q4"/>
    </sheetView>
  </sheetViews>
  <sheetFormatPr defaultRowHeight="15" x14ac:dyDescent="0.25"/>
  <cols>
    <col min="1" max="1" width="9" bestFit="1" customWidth="1"/>
    <col min="2" max="2" width="12.42578125" bestFit="1" customWidth="1"/>
    <col min="3" max="3" width="10.7109375" bestFit="1" customWidth="1"/>
    <col min="4" max="4" width="8.7109375" bestFit="1" customWidth="1"/>
    <col min="5" max="5" width="11.28515625" bestFit="1" customWidth="1"/>
    <col min="6" max="6" width="10.42578125" bestFit="1" customWidth="1"/>
    <col min="7" max="7" width="17.7109375" bestFit="1" customWidth="1"/>
    <col min="8" max="8" width="15.42578125" bestFit="1" customWidth="1"/>
    <col min="9" max="9" width="10.140625" bestFit="1" customWidth="1"/>
    <col min="10" max="10" width="15.7109375" bestFit="1" customWidth="1"/>
    <col min="11" max="11" width="14.140625" bestFit="1" customWidth="1"/>
    <col min="12" max="12" width="12.28515625" bestFit="1" customWidth="1"/>
    <col min="13" max="13" width="14.42578125" bestFit="1" customWidth="1"/>
    <col min="14" max="14" width="12.28515625" bestFit="1" customWidth="1"/>
    <col min="16" max="16" width="35.5703125" bestFit="1" customWidth="1"/>
    <col min="17" max="17" width="15.42578125" bestFit="1" customWidth="1"/>
    <col min="20" max="20" width="24.5703125" bestFit="1" customWidth="1"/>
  </cols>
  <sheetData>
    <row r="1" spans="1:17" s="35" customFormat="1" x14ac:dyDescent="0.25">
      <c r="A1" s="35" t="s">
        <v>0</v>
      </c>
      <c r="B1" s="35" t="s">
        <v>1</v>
      </c>
      <c r="C1" s="35" t="s">
        <v>2</v>
      </c>
      <c r="D1" s="35" t="s">
        <v>3</v>
      </c>
      <c r="E1" s="35" t="s">
        <v>4</v>
      </c>
      <c r="F1" s="35" t="s">
        <v>5</v>
      </c>
      <c r="G1" s="35" t="s">
        <v>457</v>
      </c>
      <c r="H1" s="35" t="s">
        <v>436</v>
      </c>
      <c r="I1" s="35" t="s">
        <v>458</v>
      </c>
      <c r="J1" s="35" t="s">
        <v>459</v>
      </c>
      <c r="K1" s="35" t="s">
        <v>460</v>
      </c>
      <c r="L1" s="35" t="s">
        <v>375</v>
      </c>
      <c r="M1" s="35" t="s">
        <v>461</v>
      </c>
      <c r="N1" s="35" t="s">
        <v>462</v>
      </c>
      <c r="P1" s="36" t="s">
        <v>469</v>
      </c>
      <c r="Q1" s="35">
        <f>'Pivot Tables'!K85</f>
        <v>21520</v>
      </c>
    </row>
    <row r="2" spans="1:17" x14ac:dyDescent="0.25">
      <c r="A2" t="s">
        <v>6</v>
      </c>
      <c r="B2" t="s">
        <v>7</v>
      </c>
      <c r="C2" t="s">
        <v>8</v>
      </c>
      <c r="D2">
        <v>2</v>
      </c>
      <c r="E2" s="1">
        <v>46113</v>
      </c>
      <c r="F2" t="s">
        <v>9</v>
      </c>
      <c r="G2" t="str">
        <f>VLOOKUP(C2,Products!A:E,2,0)</f>
        <v>Laptop Stand</v>
      </c>
      <c r="H2" t="str">
        <f>VLOOKUP(C2,Products!A:E,3,0)</f>
        <v>Electronics</v>
      </c>
      <c r="I2">
        <f>VLOOKUP(C2,Products!A:E,4,0)</f>
        <v>40</v>
      </c>
      <c r="J2" t="str">
        <f>_xlfn.XLOOKUP(B2,Customers!A:A,Customers!B:B)</f>
        <v>Mariam Javed</v>
      </c>
      <c r="K2" t="str">
        <f>_xlfn.XLOOKUP(B2,Customers!A:A,Customers!C:C)</f>
        <v>Rawalpindi</v>
      </c>
      <c r="L2" t="str">
        <f>_xlfn.XLOOKUP(B2,Customers!A:A,Customers!D:D)</f>
        <v>Bronze</v>
      </c>
      <c r="M2">
        <f>D2*I2</f>
        <v>80</v>
      </c>
      <c r="N2" t="str">
        <f>_xlfn.XLOOKUP(C2,Products!A:A,Products!E:E)</f>
        <v>Rawalpindi</v>
      </c>
      <c r="P2" s="37" t="s">
        <v>470</v>
      </c>
      <c r="Q2">
        <f>'Pivot Tables'!L85</f>
        <v>94</v>
      </c>
    </row>
    <row r="3" spans="1:17" x14ac:dyDescent="0.25">
      <c r="A3" t="s">
        <v>10</v>
      </c>
      <c r="B3" t="s">
        <v>11</v>
      </c>
      <c r="C3" t="s">
        <v>12</v>
      </c>
      <c r="D3">
        <v>1</v>
      </c>
      <c r="E3" s="1">
        <v>46113</v>
      </c>
      <c r="F3" t="s">
        <v>9</v>
      </c>
      <c r="G3" t="str">
        <f>VLOOKUP(C3,Products!A:E,2,0)</f>
        <v>Air Fryer</v>
      </c>
      <c r="H3" t="str">
        <f>VLOOKUP(C3,Products!A:E,3,0)</f>
        <v>Home &amp; Kitchen</v>
      </c>
      <c r="I3">
        <f>VLOOKUP(C3,Products!A:E,4,0)</f>
        <v>150</v>
      </c>
      <c r="J3" t="str">
        <f>_xlfn.XLOOKUP(B3,Customers!A:A,Customers!B:B)</f>
        <v>Rabia Tariq</v>
      </c>
      <c r="K3" t="str">
        <f>_xlfn.XLOOKUP(B3,Customers!A:A,Customers!C:C)</f>
        <v>Karachi</v>
      </c>
      <c r="L3" t="str">
        <f>_xlfn.XLOOKUP(B3,Customers!A:A,Customers!D:D)</f>
        <v>Gold</v>
      </c>
      <c r="M3">
        <f t="shared" ref="M3:M66" si="0">D3*I3</f>
        <v>150</v>
      </c>
      <c r="N3" t="str">
        <f>_xlfn.XLOOKUP(C3,Products!A:A,Products!E:E)</f>
        <v>Lahore</v>
      </c>
      <c r="P3" s="37" t="s">
        <v>471</v>
      </c>
      <c r="Q3">
        <f>IFERROR(Q1/Q2,"-")</f>
        <v>228.93617021276594</v>
      </c>
    </row>
    <row r="4" spans="1:17" x14ac:dyDescent="0.25">
      <c r="A4" t="s">
        <v>13</v>
      </c>
      <c r="B4" t="s">
        <v>14</v>
      </c>
      <c r="C4" t="s">
        <v>15</v>
      </c>
      <c r="D4">
        <v>3</v>
      </c>
      <c r="E4" s="1">
        <v>46114</v>
      </c>
      <c r="F4" t="s">
        <v>9</v>
      </c>
      <c r="G4" t="str">
        <f>VLOOKUP(C4,Products!A:E,2,0)</f>
        <v>Phone Case</v>
      </c>
      <c r="H4" t="str">
        <f>VLOOKUP(C4,Products!A:E,3,0)</f>
        <v>Electronics</v>
      </c>
      <c r="I4">
        <f>VLOOKUP(C4,Products!A:E,4,0)</f>
        <v>12</v>
      </c>
      <c r="J4" t="str">
        <f>_xlfn.XLOOKUP(B4,Customers!A:A,Customers!B:B)</f>
        <v>Omar Tariq</v>
      </c>
      <c r="K4" t="str">
        <f>_xlfn.XLOOKUP(B4,Customers!A:A,Customers!C:C)</f>
        <v>Karachi</v>
      </c>
      <c r="L4" t="str">
        <f>_xlfn.XLOOKUP(B4,Customers!A:A,Customers!D:D)</f>
        <v>Gold</v>
      </c>
      <c r="M4">
        <f t="shared" si="0"/>
        <v>36</v>
      </c>
      <c r="N4" t="str">
        <f>_xlfn.XLOOKUP(C4,Products!A:A,Products!E:E)</f>
        <v>Islamabad</v>
      </c>
      <c r="P4" s="37" t="s">
        <v>472</v>
      </c>
      <c r="Q4" t="str">
        <f>INDEX(P6:P10,MATCH(MAX(Q6:Q10),Q6:Q10,0))</f>
        <v xml:space="preserve">Lahore </v>
      </c>
    </row>
    <row r="5" spans="1:17" x14ac:dyDescent="0.25">
      <c r="A5" t="s">
        <v>16</v>
      </c>
      <c r="B5" t="s">
        <v>17</v>
      </c>
      <c r="C5" t="s">
        <v>18</v>
      </c>
      <c r="D5">
        <v>1</v>
      </c>
      <c r="E5" s="1">
        <v>46114</v>
      </c>
      <c r="F5" t="s">
        <v>19</v>
      </c>
      <c r="G5" t="str">
        <f>VLOOKUP(C5,Products!A:E,2,0)</f>
        <v>Hair Serum</v>
      </c>
      <c r="H5" t="str">
        <f>VLOOKUP(C5,Products!A:E,3,0)</f>
        <v>Beauty</v>
      </c>
      <c r="I5">
        <f>VLOOKUP(C5,Products!A:E,4,0)</f>
        <v>35</v>
      </c>
      <c r="J5" t="str">
        <f>_xlfn.XLOOKUP(B5,Customers!A:A,Customers!B:B)</f>
        <v>Faisal Chaudhry</v>
      </c>
      <c r="K5" t="str">
        <f>_xlfn.XLOOKUP(B5,Customers!A:A,Customers!C:C)</f>
        <v>Islamabad</v>
      </c>
      <c r="L5" t="str">
        <f>_xlfn.XLOOKUP(B5,Customers!A:A,Customers!D:D)</f>
        <v>Bronze</v>
      </c>
      <c r="M5">
        <f t="shared" si="0"/>
        <v>35</v>
      </c>
      <c r="N5" t="str">
        <f>_xlfn.XLOOKUP(C5,Products!A:A,Products!E:E)</f>
        <v>Islamabad</v>
      </c>
      <c r="P5" s="37"/>
    </row>
    <row r="6" spans="1:17" x14ac:dyDescent="0.25">
      <c r="A6" t="s">
        <v>20</v>
      </c>
      <c r="B6" t="s">
        <v>21</v>
      </c>
      <c r="C6" t="s">
        <v>22</v>
      </c>
      <c r="D6">
        <v>2</v>
      </c>
      <c r="E6" s="1">
        <v>46115</v>
      </c>
      <c r="F6" t="s">
        <v>9</v>
      </c>
      <c r="G6" t="str">
        <f>VLOOKUP(C6,Products!A:E,2,0)</f>
        <v>Kettle</v>
      </c>
      <c r="H6" t="str">
        <f>VLOOKUP(C6,Products!A:E,3,0)</f>
        <v>Home &amp; Kitchen</v>
      </c>
      <c r="I6">
        <f>VLOOKUP(C6,Products!A:E,4,0)</f>
        <v>65</v>
      </c>
      <c r="J6" t="str">
        <f>_xlfn.XLOOKUP(B6,Customers!A:A,Customers!B:B)</f>
        <v>Maryam Shah</v>
      </c>
      <c r="K6" t="str">
        <f>_xlfn.XLOOKUP(B6,Customers!A:A,Customers!C:C)</f>
        <v>Karachi</v>
      </c>
      <c r="L6" t="str">
        <f>_xlfn.XLOOKUP(B6,Customers!A:A,Customers!D:D)</f>
        <v>Bronze</v>
      </c>
      <c r="M6">
        <f t="shared" si="0"/>
        <v>130</v>
      </c>
      <c r="N6" t="str">
        <f>_xlfn.XLOOKUP(C6,Products!A:A,Products!E:E)</f>
        <v>Karachi</v>
      </c>
      <c r="P6" s="37" t="s">
        <v>473</v>
      </c>
      <c r="Q6">
        <f>SUMIF(K2:K301,"Lahore",M2:M301)</f>
        <v>11000</v>
      </c>
    </row>
    <row r="7" spans="1:17" x14ac:dyDescent="0.25">
      <c r="A7" t="s">
        <v>23</v>
      </c>
      <c r="B7" t="s">
        <v>24</v>
      </c>
      <c r="C7" t="s">
        <v>25</v>
      </c>
      <c r="D7">
        <v>4</v>
      </c>
      <c r="E7" s="1">
        <v>46115</v>
      </c>
      <c r="F7" t="s">
        <v>9</v>
      </c>
      <c r="G7" t="str">
        <f>VLOOKUP(C7,Products!A:E,2,0)</f>
        <v>Sunscreen</v>
      </c>
      <c r="H7" t="str">
        <f>VLOOKUP(C7,Products!A:E,3,0)</f>
        <v>Beauty</v>
      </c>
      <c r="I7">
        <f>VLOOKUP(C7,Products!A:E,4,0)</f>
        <v>15</v>
      </c>
      <c r="J7" t="str">
        <f>_xlfn.XLOOKUP(B7,Customers!A:A,Customers!B:B)</f>
        <v>Bilal Raza</v>
      </c>
      <c r="K7" t="str">
        <f>_xlfn.XLOOKUP(B7,Customers!A:A,Customers!C:C)</f>
        <v>Islamabad</v>
      </c>
      <c r="L7" t="str">
        <f>_xlfn.XLOOKUP(B7,Customers!A:A,Customers!D:D)</f>
        <v>Bronze</v>
      </c>
      <c r="M7">
        <f t="shared" si="0"/>
        <v>60</v>
      </c>
      <c r="N7" t="str">
        <f>_xlfn.XLOOKUP(C7,Products!A:A,Products!E:E)</f>
        <v>Karachi</v>
      </c>
      <c r="P7" s="37" t="s">
        <v>474</v>
      </c>
      <c r="Q7">
        <f>SUMIF(K2:K301,"Karachi",M2:M301)</f>
        <v>10944</v>
      </c>
    </row>
    <row r="8" spans="1:17" x14ac:dyDescent="0.25">
      <c r="A8" t="s">
        <v>26</v>
      </c>
      <c r="B8" t="s">
        <v>27</v>
      </c>
      <c r="C8" t="s">
        <v>28</v>
      </c>
      <c r="D8">
        <v>1</v>
      </c>
      <c r="E8" s="1">
        <v>46116</v>
      </c>
      <c r="F8" t="s">
        <v>29</v>
      </c>
      <c r="G8" t="str">
        <f>VLOOKUP(C8,Products!A:E,2,0)</f>
        <v>Wireless Earbuds</v>
      </c>
      <c r="H8" t="str">
        <f>VLOOKUP(C8,Products!A:E,3,0)</f>
        <v>Electronics</v>
      </c>
      <c r="I8">
        <f>VLOOKUP(C8,Products!A:E,4,0)</f>
        <v>45</v>
      </c>
      <c r="J8" t="str">
        <f>_xlfn.XLOOKUP(B8,Customers!A:A,Customers!B:B)</f>
        <v>Amna Rizvi</v>
      </c>
      <c r="K8" t="str">
        <f>_xlfn.XLOOKUP(B8,Customers!A:A,Customers!C:C)</f>
        <v>Lahore</v>
      </c>
      <c r="L8" t="str">
        <f>_xlfn.XLOOKUP(B8,Customers!A:A,Customers!D:D)</f>
        <v>Bronze</v>
      </c>
      <c r="M8">
        <f t="shared" si="0"/>
        <v>45</v>
      </c>
      <c r="N8" t="str">
        <f>_xlfn.XLOOKUP(C8,Products!A:A,Products!E:E)</f>
        <v>Lahore</v>
      </c>
      <c r="P8" s="37" t="s">
        <v>475</v>
      </c>
      <c r="Q8">
        <f>SUMIF(K2:K301,"Islamabad",M2:M301)</f>
        <v>6432</v>
      </c>
    </row>
    <row r="9" spans="1:17" x14ac:dyDescent="0.25">
      <c r="A9" t="s">
        <v>30</v>
      </c>
      <c r="B9" t="s">
        <v>31</v>
      </c>
      <c r="C9" t="s">
        <v>32</v>
      </c>
      <c r="D9">
        <v>1</v>
      </c>
      <c r="E9" s="1">
        <v>46116</v>
      </c>
      <c r="F9" t="s">
        <v>9</v>
      </c>
      <c r="G9" t="str">
        <f>VLOOKUP(C9,Products!A:E,2,0)</f>
        <v>Coffee Maker</v>
      </c>
      <c r="H9" t="str">
        <f>VLOOKUP(C9,Products!A:E,3,0)</f>
        <v>Home &amp; Kitchen</v>
      </c>
      <c r="I9">
        <f>VLOOKUP(C9,Products!A:E,4,0)</f>
        <v>110</v>
      </c>
      <c r="J9" t="str">
        <f>_xlfn.XLOOKUP(B9,Customers!A:A,Customers!B:B)</f>
        <v>Sana Malik</v>
      </c>
      <c r="K9" t="str">
        <f>_xlfn.XLOOKUP(B9,Customers!A:A,Customers!C:C)</f>
        <v>Lahore</v>
      </c>
      <c r="L9" t="str">
        <f>_xlfn.XLOOKUP(B9,Customers!A:A,Customers!D:D)</f>
        <v>Silver</v>
      </c>
      <c r="M9">
        <f t="shared" si="0"/>
        <v>110</v>
      </c>
      <c r="N9" t="str">
        <f>_xlfn.XLOOKUP(C9,Products!A:A,Products!E:E)</f>
        <v>Karachi</v>
      </c>
      <c r="P9" s="37" t="s">
        <v>476</v>
      </c>
      <c r="Q9">
        <f>SUMIF(K2:K301,"Rawalpindi",M2:M301)</f>
        <v>5527</v>
      </c>
    </row>
    <row r="10" spans="1:17" x14ac:dyDescent="0.25">
      <c r="A10" t="s">
        <v>33</v>
      </c>
      <c r="B10" t="s">
        <v>34</v>
      </c>
      <c r="C10" t="s">
        <v>35</v>
      </c>
      <c r="D10">
        <v>5</v>
      </c>
      <c r="E10" s="1">
        <v>46117</v>
      </c>
      <c r="F10" t="s">
        <v>9</v>
      </c>
      <c r="G10" t="str">
        <f>VLOOKUP(C10,Products!A:E,2,0)</f>
        <v>Face Serum</v>
      </c>
      <c r="H10" t="str">
        <f>VLOOKUP(C10,Products!A:E,3,0)</f>
        <v>Beauty</v>
      </c>
      <c r="I10">
        <f>VLOOKUP(C10,Products!A:E,4,0)</f>
        <v>30</v>
      </c>
      <c r="J10" t="str">
        <f>_xlfn.XLOOKUP(B10,Customers!A:A,Customers!B:B)</f>
        <v>Farah Noor</v>
      </c>
      <c r="K10" t="str">
        <f>_xlfn.XLOOKUP(B10,Customers!A:A,Customers!C:C)</f>
        <v>Karachi</v>
      </c>
      <c r="L10" t="str">
        <f>_xlfn.XLOOKUP(B10,Customers!A:A,Customers!D:D)</f>
        <v>Silver</v>
      </c>
      <c r="M10">
        <f t="shared" si="0"/>
        <v>150</v>
      </c>
      <c r="N10" t="str">
        <f>_xlfn.XLOOKUP(C10,Products!A:A,Products!E:E)</f>
        <v>Lahore</v>
      </c>
      <c r="P10" s="37" t="s">
        <v>477</v>
      </c>
      <c r="Q10">
        <f>SUMIF(K2:K301,"Faisalabad",M2:M301)</f>
        <v>3584</v>
      </c>
    </row>
    <row r="11" spans="1:17" x14ac:dyDescent="0.25">
      <c r="A11" t="s">
        <v>36</v>
      </c>
      <c r="B11" t="s">
        <v>37</v>
      </c>
      <c r="C11" t="s">
        <v>38</v>
      </c>
      <c r="D11">
        <v>3</v>
      </c>
      <c r="E11" s="1">
        <v>46117</v>
      </c>
      <c r="F11" t="s">
        <v>19</v>
      </c>
      <c r="G11" t="str">
        <f>VLOOKUP(C11,Products!A:E,2,0)</f>
        <v>Rice Cooker</v>
      </c>
      <c r="H11" t="str">
        <f>VLOOKUP(C11,Products!A:E,3,0)</f>
        <v>Home &amp; Kitchen</v>
      </c>
      <c r="I11">
        <f>VLOOKUP(C11,Products!A:E,4,0)</f>
        <v>95</v>
      </c>
      <c r="J11" t="str">
        <f>_xlfn.XLOOKUP(B11,Customers!A:A,Customers!B:B)</f>
        <v>Talha Mirza</v>
      </c>
      <c r="K11" t="str">
        <f>_xlfn.XLOOKUP(B11,Customers!A:A,Customers!C:C)</f>
        <v>Lahore</v>
      </c>
      <c r="L11" t="str">
        <f>_xlfn.XLOOKUP(B11,Customers!A:A,Customers!D:D)</f>
        <v>Bronze</v>
      </c>
      <c r="M11">
        <f t="shared" si="0"/>
        <v>285</v>
      </c>
      <c r="N11" t="str">
        <f>_xlfn.XLOOKUP(C11,Products!A:A,Products!E:E)</f>
        <v>Rawalpindi</v>
      </c>
      <c r="P11" s="37"/>
    </row>
    <row r="12" spans="1:17" x14ac:dyDescent="0.25">
      <c r="A12" t="s">
        <v>39</v>
      </c>
      <c r="B12" t="s">
        <v>40</v>
      </c>
      <c r="C12" t="s">
        <v>41</v>
      </c>
      <c r="D12">
        <v>1</v>
      </c>
      <c r="E12" s="1">
        <v>46118</v>
      </c>
      <c r="F12" t="s">
        <v>9</v>
      </c>
      <c r="G12" t="str">
        <f>VLOOKUP(C12,Products!A:E,2,0)</f>
        <v>Smart Watch</v>
      </c>
      <c r="H12" t="str">
        <f>VLOOKUP(C12,Products!A:E,3,0)</f>
        <v>Electronics</v>
      </c>
      <c r="I12">
        <f>VLOOKUP(C12,Products!A:E,4,0)</f>
        <v>200</v>
      </c>
      <c r="J12" t="str">
        <f>_xlfn.XLOOKUP(B12,Customers!A:A,Customers!B:B)</f>
        <v>Ayesha Siddiqui</v>
      </c>
      <c r="K12" t="str">
        <f>_xlfn.XLOOKUP(B12,Customers!A:A,Customers!C:C)</f>
        <v>Islamabad</v>
      </c>
      <c r="L12" t="str">
        <f>_xlfn.XLOOKUP(B12,Customers!A:A,Customers!D:D)</f>
        <v>Silver</v>
      </c>
      <c r="M12">
        <f t="shared" si="0"/>
        <v>200</v>
      </c>
      <c r="N12" t="str">
        <f>_xlfn.XLOOKUP(C12,Products!A:A,Products!E:E)</f>
        <v>Karachi</v>
      </c>
      <c r="P12" s="37"/>
    </row>
    <row r="13" spans="1:17" x14ac:dyDescent="0.25">
      <c r="A13" t="s">
        <v>42</v>
      </c>
      <c r="B13" t="s">
        <v>43</v>
      </c>
      <c r="C13" t="s">
        <v>44</v>
      </c>
      <c r="D13">
        <v>1</v>
      </c>
      <c r="E13" s="1">
        <v>46118</v>
      </c>
      <c r="F13" t="s">
        <v>9</v>
      </c>
      <c r="G13" t="str">
        <f>VLOOKUP(C13,Products!A:E,2,0)</f>
        <v>Moisturizer</v>
      </c>
      <c r="H13" t="str">
        <f>VLOOKUP(C13,Products!A:E,3,0)</f>
        <v>Beauty</v>
      </c>
      <c r="I13">
        <f>VLOOKUP(C13,Products!A:E,4,0)</f>
        <v>25</v>
      </c>
      <c r="J13" t="str">
        <f>_xlfn.XLOOKUP(B13,Customers!A:A,Customers!B:B)</f>
        <v>Ali Hussain</v>
      </c>
      <c r="K13" t="str">
        <f>_xlfn.XLOOKUP(B13,Customers!A:A,Customers!C:C)</f>
        <v>Karachi</v>
      </c>
      <c r="L13" t="str">
        <f>_xlfn.XLOOKUP(B13,Customers!A:A,Customers!D:D)</f>
        <v>Gold</v>
      </c>
      <c r="M13">
        <f t="shared" si="0"/>
        <v>25</v>
      </c>
      <c r="N13" t="str">
        <f>_xlfn.XLOOKUP(C13,Products!A:A,Products!E:E)</f>
        <v>Lahore</v>
      </c>
      <c r="P13" s="37" t="s">
        <v>479</v>
      </c>
      <c r="Q13" s="5">
        <f>COUNTIF(F2:F301,"Delivered")/COUNTA(F2:F301)</f>
        <v>0.88</v>
      </c>
    </row>
    <row r="14" spans="1:17" x14ac:dyDescent="0.25">
      <c r="A14" t="s">
        <v>45</v>
      </c>
      <c r="B14" t="s">
        <v>46</v>
      </c>
      <c r="C14" t="s">
        <v>47</v>
      </c>
      <c r="D14">
        <v>2</v>
      </c>
      <c r="E14" s="1">
        <v>46119</v>
      </c>
      <c r="F14" t="s">
        <v>9</v>
      </c>
      <c r="G14" t="str">
        <f>VLOOKUP(C14,Products!A:E,2,0)</f>
        <v>Blender</v>
      </c>
      <c r="H14" t="str">
        <f>VLOOKUP(C14,Products!A:E,3,0)</f>
        <v>Home &amp; Kitchen</v>
      </c>
      <c r="I14">
        <f>VLOOKUP(C14,Products!A:E,4,0)</f>
        <v>120</v>
      </c>
      <c r="J14" t="str">
        <f>_xlfn.XLOOKUP(B14,Customers!A:A,Customers!B:B)</f>
        <v>Noor Fatima</v>
      </c>
      <c r="K14" t="str">
        <f>_xlfn.XLOOKUP(B14,Customers!A:A,Customers!C:C)</f>
        <v>Lahore</v>
      </c>
      <c r="L14" t="str">
        <f>_xlfn.XLOOKUP(B14,Customers!A:A,Customers!D:D)</f>
        <v>Gold</v>
      </c>
      <c r="M14">
        <f t="shared" si="0"/>
        <v>240</v>
      </c>
      <c r="N14" t="str">
        <f>_xlfn.XLOOKUP(C14,Products!A:A,Products!E:E)</f>
        <v>Islamabad</v>
      </c>
      <c r="P14" s="37"/>
    </row>
    <row r="15" spans="1:17" x14ac:dyDescent="0.25">
      <c r="A15" t="s">
        <v>48</v>
      </c>
      <c r="B15" t="s">
        <v>49</v>
      </c>
      <c r="C15" t="s">
        <v>50</v>
      </c>
      <c r="D15">
        <v>1</v>
      </c>
      <c r="E15" s="1">
        <v>46119</v>
      </c>
      <c r="F15" t="s">
        <v>29</v>
      </c>
      <c r="G15" t="str">
        <f>VLOOKUP(C15,Products!A:E,2,0)</f>
        <v>Bluetooth Speaker</v>
      </c>
      <c r="H15" t="str">
        <f>VLOOKUP(C15,Products!A:E,3,0)</f>
        <v>Electronics</v>
      </c>
      <c r="I15">
        <f>VLOOKUP(C15,Products!A:E,4,0)</f>
        <v>95</v>
      </c>
      <c r="J15" t="str">
        <f>_xlfn.XLOOKUP(B15,Customers!A:A,Customers!B:B)</f>
        <v>Zainab Hussain</v>
      </c>
      <c r="K15" t="str">
        <f>_xlfn.XLOOKUP(B15,Customers!A:A,Customers!C:C)</f>
        <v>Lahore</v>
      </c>
      <c r="L15" t="str">
        <f>_xlfn.XLOOKUP(B15,Customers!A:A,Customers!D:D)</f>
        <v>Bronze</v>
      </c>
      <c r="M15">
        <f t="shared" si="0"/>
        <v>95</v>
      </c>
      <c r="N15" t="str">
        <f>_xlfn.XLOOKUP(C15,Products!A:A,Products!E:E)</f>
        <v>Karachi</v>
      </c>
      <c r="P15" s="37" t="s">
        <v>486</v>
      </c>
      <c r="Q15">
        <f>'Pivot Tables'!M85</f>
        <v>185</v>
      </c>
    </row>
    <row r="16" spans="1:17" x14ac:dyDescent="0.25">
      <c r="A16" t="s">
        <v>51</v>
      </c>
      <c r="B16" t="s">
        <v>52</v>
      </c>
      <c r="C16" t="s">
        <v>53</v>
      </c>
      <c r="D16">
        <v>2</v>
      </c>
      <c r="E16" s="1">
        <v>46120</v>
      </c>
      <c r="F16" t="s">
        <v>9</v>
      </c>
      <c r="G16" t="str">
        <f>VLOOKUP(C16,Products!A:E,2,0)</f>
        <v>Night Cream</v>
      </c>
      <c r="H16" t="str">
        <f>VLOOKUP(C16,Products!A:E,3,0)</f>
        <v>Beauty</v>
      </c>
      <c r="I16">
        <f>VLOOKUP(C16,Products!A:E,4,0)</f>
        <v>40</v>
      </c>
      <c r="J16" t="str">
        <f>_xlfn.XLOOKUP(B16,Customers!A:A,Customers!B:B)</f>
        <v>Bilal Sheikh</v>
      </c>
      <c r="K16" t="str">
        <f>_xlfn.XLOOKUP(B16,Customers!A:A,Customers!C:C)</f>
        <v>Rawalpindi</v>
      </c>
      <c r="L16" t="str">
        <f>_xlfn.XLOOKUP(B16,Customers!A:A,Customers!D:D)</f>
        <v>Bronze</v>
      </c>
      <c r="M16">
        <f t="shared" si="0"/>
        <v>80</v>
      </c>
      <c r="N16" t="str">
        <f>_xlfn.XLOOKUP(C16,Products!A:A,Products!E:E)</f>
        <v>Faisalabad</v>
      </c>
    </row>
    <row r="17" spans="1:14" x14ac:dyDescent="0.25">
      <c r="A17" t="s">
        <v>54</v>
      </c>
      <c r="B17" t="s">
        <v>55</v>
      </c>
      <c r="C17" t="s">
        <v>25</v>
      </c>
      <c r="D17">
        <v>2</v>
      </c>
      <c r="E17" s="1">
        <v>46120</v>
      </c>
      <c r="F17" t="s">
        <v>9</v>
      </c>
      <c r="G17" t="str">
        <f>VLOOKUP(C17,Products!A:E,2,0)</f>
        <v>Sunscreen</v>
      </c>
      <c r="H17" t="str">
        <f>VLOOKUP(C17,Products!A:E,3,0)</f>
        <v>Beauty</v>
      </c>
      <c r="I17">
        <f>VLOOKUP(C17,Products!A:E,4,0)</f>
        <v>15</v>
      </c>
      <c r="J17" t="str">
        <f>_xlfn.XLOOKUP(B17,Customers!A:A,Customers!B:B)</f>
        <v>Omer Farooq</v>
      </c>
      <c r="K17" t="str">
        <f>_xlfn.XLOOKUP(B17,Customers!A:A,Customers!C:C)</f>
        <v>Islamabad</v>
      </c>
      <c r="L17" t="str">
        <f>_xlfn.XLOOKUP(B17,Customers!A:A,Customers!D:D)</f>
        <v>Silver</v>
      </c>
      <c r="M17">
        <f t="shared" si="0"/>
        <v>30</v>
      </c>
      <c r="N17" t="str">
        <f>_xlfn.XLOOKUP(C17,Products!A:A,Products!E:E)</f>
        <v>Karachi</v>
      </c>
    </row>
    <row r="18" spans="1:14" x14ac:dyDescent="0.25">
      <c r="A18" t="s">
        <v>56</v>
      </c>
      <c r="B18" t="s">
        <v>57</v>
      </c>
      <c r="C18" t="s">
        <v>15</v>
      </c>
      <c r="D18">
        <v>1</v>
      </c>
      <c r="E18" s="1">
        <v>46121</v>
      </c>
      <c r="F18" t="s">
        <v>9</v>
      </c>
      <c r="G18" t="str">
        <f>VLOOKUP(C18,Products!A:E,2,0)</f>
        <v>Phone Case</v>
      </c>
      <c r="H18" t="str">
        <f>VLOOKUP(C18,Products!A:E,3,0)</f>
        <v>Electronics</v>
      </c>
      <c r="I18">
        <f>VLOOKUP(C18,Products!A:E,4,0)</f>
        <v>12</v>
      </c>
      <c r="J18" t="str">
        <f>_xlfn.XLOOKUP(B18,Customers!A:A,Customers!B:B)</f>
        <v>Hamza Tariq</v>
      </c>
      <c r="K18" t="str">
        <f>_xlfn.XLOOKUP(B18,Customers!A:A,Customers!C:C)</f>
        <v>Karachi</v>
      </c>
      <c r="L18" t="str">
        <f>_xlfn.XLOOKUP(B18,Customers!A:A,Customers!D:D)</f>
        <v>Silver</v>
      </c>
      <c r="M18">
        <f t="shared" si="0"/>
        <v>12</v>
      </c>
      <c r="N18" t="str">
        <f>_xlfn.XLOOKUP(C18,Products!A:A,Products!E:E)</f>
        <v>Islamabad</v>
      </c>
    </row>
    <row r="19" spans="1:14" x14ac:dyDescent="0.25">
      <c r="A19" t="s">
        <v>58</v>
      </c>
      <c r="B19" t="s">
        <v>59</v>
      </c>
      <c r="C19" t="s">
        <v>18</v>
      </c>
      <c r="D19">
        <v>1</v>
      </c>
      <c r="E19" s="1">
        <v>46121</v>
      </c>
      <c r="F19" t="s">
        <v>9</v>
      </c>
      <c r="G19" t="str">
        <f>VLOOKUP(C19,Products!A:E,2,0)</f>
        <v>Hair Serum</v>
      </c>
      <c r="H19" t="str">
        <f>VLOOKUP(C19,Products!A:E,3,0)</f>
        <v>Beauty</v>
      </c>
      <c r="I19">
        <f>VLOOKUP(C19,Products!A:E,4,0)</f>
        <v>35</v>
      </c>
      <c r="J19" t="str">
        <f>_xlfn.XLOOKUP(B19,Customers!A:A,Customers!B:B)</f>
        <v>Tariq Mehmood</v>
      </c>
      <c r="K19" t="str">
        <f>_xlfn.XLOOKUP(B19,Customers!A:A,Customers!C:C)</f>
        <v>Islamabad</v>
      </c>
      <c r="L19" t="str">
        <f>_xlfn.XLOOKUP(B19,Customers!A:A,Customers!D:D)</f>
        <v>Gold</v>
      </c>
      <c r="M19">
        <f t="shared" si="0"/>
        <v>35</v>
      </c>
      <c r="N19" t="str">
        <f>_xlfn.XLOOKUP(C19,Products!A:A,Products!E:E)</f>
        <v>Islamabad</v>
      </c>
    </row>
    <row r="20" spans="1:14" x14ac:dyDescent="0.25">
      <c r="A20" t="s">
        <v>60</v>
      </c>
      <c r="B20" t="s">
        <v>61</v>
      </c>
      <c r="C20" t="s">
        <v>12</v>
      </c>
      <c r="D20">
        <v>3</v>
      </c>
      <c r="E20" s="1">
        <v>46122</v>
      </c>
      <c r="F20" t="s">
        <v>9</v>
      </c>
      <c r="G20" t="str">
        <f>VLOOKUP(C20,Products!A:E,2,0)</f>
        <v>Air Fryer</v>
      </c>
      <c r="H20" t="str">
        <f>VLOOKUP(C20,Products!A:E,3,0)</f>
        <v>Home &amp; Kitchen</v>
      </c>
      <c r="I20">
        <f>VLOOKUP(C20,Products!A:E,4,0)</f>
        <v>150</v>
      </c>
      <c r="J20" t="str">
        <f>_xlfn.XLOOKUP(B20,Customers!A:A,Customers!B:B)</f>
        <v>Sara Ali</v>
      </c>
      <c r="K20" t="str">
        <f>_xlfn.XLOOKUP(B20,Customers!A:A,Customers!C:C)</f>
        <v>Lahore</v>
      </c>
      <c r="L20" t="str">
        <f>_xlfn.XLOOKUP(B20,Customers!A:A,Customers!D:D)</f>
        <v>Silver</v>
      </c>
      <c r="M20">
        <f t="shared" si="0"/>
        <v>450</v>
      </c>
      <c r="N20" t="str">
        <f>_xlfn.XLOOKUP(C20,Products!A:A,Products!E:E)</f>
        <v>Lahore</v>
      </c>
    </row>
    <row r="21" spans="1:14" x14ac:dyDescent="0.25">
      <c r="A21" t="s">
        <v>62</v>
      </c>
      <c r="B21" t="s">
        <v>63</v>
      </c>
      <c r="C21" t="s">
        <v>8</v>
      </c>
      <c r="D21">
        <v>2</v>
      </c>
      <c r="E21" s="1">
        <v>46122</v>
      </c>
      <c r="F21" t="s">
        <v>19</v>
      </c>
      <c r="G21" t="str">
        <f>VLOOKUP(C21,Products!A:E,2,0)</f>
        <v>Laptop Stand</v>
      </c>
      <c r="H21" t="str">
        <f>VLOOKUP(C21,Products!A:E,3,0)</f>
        <v>Electronics</v>
      </c>
      <c r="I21">
        <f>VLOOKUP(C21,Products!A:E,4,0)</f>
        <v>40</v>
      </c>
      <c r="J21" t="str">
        <f>_xlfn.XLOOKUP(B21,Customers!A:A,Customers!B:B)</f>
        <v>Zara Malik</v>
      </c>
      <c r="K21" t="str">
        <f>_xlfn.XLOOKUP(B21,Customers!A:A,Customers!C:C)</f>
        <v>Islamabad</v>
      </c>
      <c r="L21" t="str">
        <f>_xlfn.XLOOKUP(B21,Customers!A:A,Customers!D:D)</f>
        <v>Bronze</v>
      </c>
      <c r="M21">
        <f t="shared" si="0"/>
        <v>80</v>
      </c>
      <c r="N21" t="str">
        <f>_xlfn.XLOOKUP(C21,Products!A:A,Products!E:E)</f>
        <v>Rawalpindi</v>
      </c>
    </row>
    <row r="22" spans="1:14" x14ac:dyDescent="0.25">
      <c r="A22" t="s">
        <v>64</v>
      </c>
      <c r="B22" t="s">
        <v>65</v>
      </c>
      <c r="C22" t="s">
        <v>32</v>
      </c>
      <c r="D22">
        <v>2</v>
      </c>
      <c r="E22" s="1">
        <v>46123</v>
      </c>
      <c r="F22" t="s">
        <v>29</v>
      </c>
      <c r="G22" t="str">
        <f>VLOOKUP(C22,Products!A:E,2,0)</f>
        <v>Coffee Maker</v>
      </c>
      <c r="H22" t="str">
        <f>VLOOKUP(C22,Products!A:E,3,0)</f>
        <v>Home &amp; Kitchen</v>
      </c>
      <c r="I22">
        <f>VLOOKUP(C22,Products!A:E,4,0)</f>
        <v>110</v>
      </c>
      <c r="J22" t="str">
        <f>_xlfn.XLOOKUP(B22,Customers!A:A,Customers!B:B)</f>
        <v>Rabia Noor</v>
      </c>
      <c r="K22" t="str">
        <f>_xlfn.XLOOKUP(B22,Customers!A:A,Customers!C:C)</f>
        <v>Karachi</v>
      </c>
      <c r="L22" t="str">
        <f>_xlfn.XLOOKUP(B22,Customers!A:A,Customers!D:D)</f>
        <v>Gold</v>
      </c>
      <c r="M22">
        <f t="shared" si="0"/>
        <v>220</v>
      </c>
      <c r="N22" t="str">
        <f>_xlfn.XLOOKUP(C22,Products!A:A,Products!E:E)</f>
        <v>Karachi</v>
      </c>
    </row>
    <row r="23" spans="1:14" x14ac:dyDescent="0.25">
      <c r="A23" t="s">
        <v>66</v>
      </c>
      <c r="B23" t="s">
        <v>67</v>
      </c>
      <c r="C23" t="s">
        <v>35</v>
      </c>
      <c r="D23">
        <v>1</v>
      </c>
      <c r="E23" s="1">
        <v>46123</v>
      </c>
      <c r="F23" t="s">
        <v>9</v>
      </c>
      <c r="G23" t="str">
        <f>VLOOKUP(C23,Products!A:E,2,0)</f>
        <v>Face Serum</v>
      </c>
      <c r="H23" t="str">
        <f>VLOOKUP(C23,Products!A:E,3,0)</f>
        <v>Beauty</v>
      </c>
      <c r="I23">
        <f>VLOOKUP(C23,Products!A:E,4,0)</f>
        <v>30</v>
      </c>
      <c r="J23" t="str">
        <f>_xlfn.XLOOKUP(B23,Customers!A:A,Customers!B:B)</f>
        <v>Kamran Iqbal</v>
      </c>
      <c r="K23" t="str">
        <f>_xlfn.XLOOKUP(B23,Customers!A:A,Customers!C:C)</f>
        <v>Faisalabad</v>
      </c>
      <c r="L23" t="str">
        <f>_xlfn.XLOOKUP(B23,Customers!A:A,Customers!D:D)</f>
        <v>Gold</v>
      </c>
      <c r="M23">
        <f t="shared" si="0"/>
        <v>30</v>
      </c>
      <c r="N23" t="str">
        <f>_xlfn.XLOOKUP(C23,Products!A:A,Products!E:E)</f>
        <v>Lahore</v>
      </c>
    </row>
    <row r="24" spans="1:14" x14ac:dyDescent="0.25">
      <c r="A24" t="s">
        <v>68</v>
      </c>
      <c r="B24" t="s">
        <v>69</v>
      </c>
      <c r="C24" t="s">
        <v>38</v>
      </c>
      <c r="D24">
        <v>4</v>
      </c>
      <c r="E24" s="1">
        <v>46124</v>
      </c>
      <c r="F24" t="s">
        <v>9</v>
      </c>
      <c r="G24" t="str">
        <f>VLOOKUP(C24,Products!A:E,2,0)</f>
        <v>Rice Cooker</v>
      </c>
      <c r="H24" t="str">
        <f>VLOOKUP(C24,Products!A:E,3,0)</f>
        <v>Home &amp; Kitchen</v>
      </c>
      <c r="I24">
        <f>VLOOKUP(C24,Products!A:E,4,0)</f>
        <v>95</v>
      </c>
      <c r="J24" t="str">
        <f>_xlfn.XLOOKUP(B24,Customers!A:A,Customers!B:B)</f>
        <v>Nabeel Awan</v>
      </c>
      <c r="K24" t="str">
        <f>_xlfn.XLOOKUP(B24,Customers!A:A,Customers!C:C)</f>
        <v>Islamabad</v>
      </c>
      <c r="L24" t="str">
        <f>_xlfn.XLOOKUP(B24,Customers!A:A,Customers!D:D)</f>
        <v>Bronze</v>
      </c>
      <c r="M24">
        <f t="shared" si="0"/>
        <v>380</v>
      </c>
      <c r="N24" t="str">
        <f>_xlfn.XLOOKUP(C24,Products!A:A,Products!E:E)</f>
        <v>Rawalpindi</v>
      </c>
    </row>
    <row r="25" spans="1:14" x14ac:dyDescent="0.25">
      <c r="A25" t="s">
        <v>70</v>
      </c>
      <c r="B25" t="s">
        <v>71</v>
      </c>
      <c r="C25" t="s">
        <v>28</v>
      </c>
      <c r="D25">
        <v>1</v>
      </c>
      <c r="E25" s="1">
        <v>46124</v>
      </c>
      <c r="F25" t="s">
        <v>9</v>
      </c>
      <c r="G25" t="str">
        <f>VLOOKUP(C25,Products!A:E,2,0)</f>
        <v>Wireless Earbuds</v>
      </c>
      <c r="H25" t="str">
        <f>VLOOKUP(C25,Products!A:E,3,0)</f>
        <v>Electronics</v>
      </c>
      <c r="I25">
        <f>VLOOKUP(C25,Products!A:E,4,0)</f>
        <v>45</v>
      </c>
      <c r="J25" t="str">
        <f>_xlfn.XLOOKUP(B25,Customers!A:A,Customers!B:B)</f>
        <v>Bilal Ahmed</v>
      </c>
      <c r="K25" t="str">
        <f>_xlfn.XLOOKUP(B25,Customers!A:A,Customers!C:C)</f>
        <v>Faisalabad</v>
      </c>
      <c r="L25" t="str">
        <f>_xlfn.XLOOKUP(B25,Customers!A:A,Customers!D:D)</f>
        <v>Bronze</v>
      </c>
      <c r="M25">
        <f t="shared" si="0"/>
        <v>45</v>
      </c>
      <c r="N25" t="str">
        <f>_xlfn.XLOOKUP(C25,Products!A:A,Products!E:E)</f>
        <v>Lahore</v>
      </c>
    </row>
    <row r="26" spans="1:14" x14ac:dyDescent="0.25">
      <c r="A26" t="s">
        <v>72</v>
      </c>
      <c r="B26" t="s">
        <v>73</v>
      </c>
      <c r="C26" t="s">
        <v>44</v>
      </c>
      <c r="D26">
        <v>1</v>
      </c>
      <c r="E26" s="1">
        <v>46125</v>
      </c>
      <c r="F26" t="s">
        <v>19</v>
      </c>
      <c r="G26" t="str">
        <f>VLOOKUP(C26,Products!A:E,2,0)</f>
        <v>Moisturizer</v>
      </c>
      <c r="H26" t="str">
        <f>VLOOKUP(C26,Products!A:E,3,0)</f>
        <v>Beauty</v>
      </c>
      <c r="I26">
        <f>VLOOKUP(C26,Products!A:E,4,0)</f>
        <v>25</v>
      </c>
      <c r="J26" t="str">
        <f>_xlfn.XLOOKUP(B26,Customers!A:A,Customers!B:B)</f>
        <v>Imran Satti</v>
      </c>
      <c r="K26" t="str">
        <f>_xlfn.XLOOKUP(B26,Customers!A:A,Customers!C:C)</f>
        <v>Islamabad</v>
      </c>
      <c r="L26" t="str">
        <f>_xlfn.XLOOKUP(B26,Customers!A:A,Customers!D:D)</f>
        <v>Gold</v>
      </c>
      <c r="M26">
        <f t="shared" si="0"/>
        <v>25</v>
      </c>
      <c r="N26" t="str">
        <f>_xlfn.XLOOKUP(C26,Products!A:A,Products!E:E)</f>
        <v>Lahore</v>
      </c>
    </row>
    <row r="27" spans="1:14" x14ac:dyDescent="0.25">
      <c r="A27" t="s">
        <v>74</v>
      </c>
      <c r="B27" t="s">
        <v>75</v>
      </c>
      <c r="C27" t="s">
        <v>47</v>
      </c>
      <c r="D27">
        <v>2</v>
      </c>
      <c r="E27" s="1">
        <v>46125</v>
      </c>
      <c r="F27" t="s">
        <v>9</v>
      </c>
      <c r="G27" t="str">
        <f>VLOOKUP(C27,Products!A:E,2,0)</f>
        <v>Blender</v>
      </c>
      <c r="H27" t="str">
        <f>VLOOKUP(C27,Products!A:E,3,0)</f>
        <v>Home &amp; Kitchen</v>
      </c>
      <c r="I27">
        <f>VLOOKUP(C27,Products!A:E,4,0)</f>
        <v>120</v>
      </c>
      <c r="J27" t="str">
        <f>_xlfn.XLOOKUP(B27,Customers!A:A,Customers!B:B)</f>
        <v>Imran Khan</v>
      </c>
      <c r="K27" t="str">
        <f>_xlfn.XLOOKUP(B27,Customers!A:A,Customers!C:C)</f>
        <v>Rawalpindi</v>
      </c>
      <c r="L27" t="str">
        <f>_xlfn.XLOOKUP(B27,Customers!A:A,Customers!D:D)</f>
        <v>Bronze</v>
      </c>
      <c r="M27">
        <f t="shared" si="0"/>
        <v>240</v>
      </c>
      <c r="N27" t="str">
        <f>_xlfn.XLOOKUP(C27,Products!A:A,Products!E:E)</f>
        <v>Islamabad</v>
      </c>
    </row>
    <row r="28" spans="1:14" x14ac:dyDescent="0.25">
      <c r="A28" t="s">
        <v>76</v>
      </c>
      <c r="B28" t="s">
        <v>77</v>
      </c>
      <c r="C28" t="s">
        <v>50</v>
      </c>
      <c r="D28">
        <v>3</v>
      </c>
      <c r="E28" s="1">
        <v>46126</v>
      </c>
      <c r="F28" t="s">
        <v>9</v>
      </c>
      <c r="G28" t="str">
        <f>VLOOKUP(C28,Products!A:E,2,0)</f>
        <v>Bluetooth Speaker</v>
      </c>
      <c r="H28" t="str">
        <f>VLOOKUP(C28,Products!A:E,3,0)</f>
        <v>Electronics</v>
      </c>
      <c r="I28">
        <f>VLOOKUP(C28,Products!A:E,4,0)</f>
        <v>95</v>
      </c>
      <c r="J28" t="str">
        <f>_xlfn.XLOOKUP(B28,Customers!A:A,Customers!B:B)</f>
        <v>Hina Awan</v>
      </c>
      <c r="K28" t="str">
        <f>_xlfn.XLOOKUP(B28,Customers!A:A,Customers!C:C)</f>
        <v>Karachi</v>
      </c>
      <c r="L28" t="str">
        <f>_xlfn.XLOOKUP(B28,Customers!A:A,Customers!D:D)</f>
        <v>Silver</v>
      </c>
      <c r="M28">
        <f t="shared" si="0"/>
        <v>285</v>
      </c>
      <c r="N28" t="str">
        <f>_xlfn.XLOOKUP(C28,Products!A:A,Products!E:E)</f>
        <v>Karachi</v>
      </c>
    </row>
    <row r="29" spans="1:14" x14ac:dyDescent="0.25">
      <c r="A29" t="s">
        <v>78</v>
      </c>
      <c r="B29" t="s">
        <v>79</v>
      </c>
      <c r="C29" t="s">
        <v>53</v>
      </c>
      <c r="D29">
        <v>1</v>
      </c>
      <c r="E29" s="1">
        <v>46126</v>
      </c>
      <c r="F29" t="s">
        <v>9</v>
      </c>
      <c r="G29" t="str">
        <f>VLOOKUP(C29,Products!A:E,2,0)</f>
        <v>Night Cream</v>
      </c>
      <c r="H29" t="str">
        <f>VLOOKUP(C29,Products!A:E,3,0)</f>
        <v>Beauty</v>
      </c>
      <c r="I29">
        <f>VLOOKUP(C29,Products!A:E,4,0)</f>
        <v>40</v>
      </c>
      <c r="J29" t="str">
        <f>_xlfn.XLOOKUP(B29,Customers!A:A,Customers!B:B)</f>
        <v>Sadia Awan</v>
      </c>
      <c r="K29" t="str">
        <f>_xlfn.XLOOKUP(B29,Customers!A:A,Customers!C:C)</f>
        <v>Lahore</v>
      </c>
      <c r="L29" t="str">
        <f>_xlfn.XLOOKUP(B29,Customers!A:A,Customers!D:D)</f>
        <v>Bronze</v>
      </c>
      <c r="M29">
        <f t="shared" si="0"/>
        <v>40</v>
      </c>
      <c r="N29" t="str">
        <f>_xlfn.XLOOKUP(C29,Products!A:A,Products!E:E)</f>
        <v>Faisalabad</v>
      </c>
    </row>
    <row r="30" spans="1:14" x14ac:dyDescent="0.25">
      <c r="A30" t="s">
        <v>80</v>
      </c>
      <c r="B30" t="s">
        <v>81</v>
      </c>
      <c r="C30" t="s">
        <v>22</v>
      </c>
      <c r="D30">
        <v>1</v>
      </c>
      <c r="E30" s="1">
        <v>46127</v>
      </c>
      <c r="F30" t="s">
        <v>19</v>
      </c>
      <c r="G30" t="str">
        <f>VLOOKUP(C30,Products!A:E,2,0)</f>
        <v>Kettle</v>
      </c>
      <c r="H30" t="str">
        <f>VLOOKUP(C30,Products!A:E,3,0)</f>
        <v>Home &amp; Kitchen</v>
      </c>
      <c r="I30">
        <f>VLOOKUP(C30,Products!A:E,4,0)</f>
        <v>65</v>
      </c>
      <c r="J30" t="str">
        <f>_xlfn.XLOOKUP(B30,Customers!A:A,Customers!B:B)</f>
        <v>Ahmed Khan</v>
      </c>
      <c r="K30" t="str">
        <f>_xlfn.XLOOKUP(B30,Customers!A:A,Customers!C:C)</f>
        <v>Karachi</v>
      </c>
      <c r="L30" t="str">
        <f>_xlfn.XLOOKUP(B30,Customers!A:A,Customers!D:D)</f>
        <v>Gold</v>
      </c>
      <c r="M30">
        <f t="shared" si="0"/>
        <v>65</v>
      </c>
      <c r="N30" t="str">
        <f>_xlfn.XLOOKUP(C30,Products!A:A,Products!E:E)</f>
        <v>Karachi</v>
      </c>
    </row>
    <row r="31" spans="1:14" x14ac:dyDescent="0.25">
      <c r="A31" t="s">
        <v>82</v>
      </c>
      <c r="B31" t="s">
        <v>83</v>
      </c>
      <c r="C31" t="s">
        <v>25</v>
      </c>
      <c r="D31">
        <v>2</v>
      </c>
      <c r="E31" s="1">
        <v>46127</v>
      </c>
      <c r="F31" t="s">
        <v>9</v>
      </c>
      <c r="G31" t="str">
        <f>VLOOKUP(C31,Products!A:E,2,0)</f>
        <v>Sunscreen</v>
      </c>
      <c r="H31" t="str">
        <f>VLOOKUP(C31,Products!A:E,3,0)</f>
        <v>Beauty</v>
      </c>
      <c r="I31">
        <f>VLOOKUP(C31,Products!A:E,4,0)</f>
        <v>15</v>
      </c>
      <c r="J31" t="str">
        <f>_xlfn.XLOOKUP(B31,Customers!A:A,Customers!B:B)</f>
        <v>Junaid Alam</v>
      </c>
      <c r="K31" t="str">
        <f>_xlfn.XLOOKUP(B31,Customers!A:A,Customers!C:C)</f>
        <v>Lahore</v>
      </c>
      <c r="L31" t="str">
        <f>_xlfn.XLOOKUP(B31,Customers!A:A,Customers!D:D)</f>
        <v>Bronze</v>
      </c>
      <c r="M31">
        <f t="shared" si="0"/>
        <v>30</v>
      </c>
      <c r="N31" t="str">
        <f>_xlfn.XLOOKUP(C31,Products!A:A,Products!E:E)</f>
        <v>Karachi</v>
      </c>
    </row>
    <row r="32" spans="1:14" x14ac:dyDescent="0.25">
      <c r="A32" t="s">
        <v>84</v>
      </c>
      <c r="B32" t="s">
        <v>85</v>
      </c>
      <c r="C32" t="s">
        <v>41</v>
      </c>
      <c r="D32">
        <v>2</v>
      </c>
      <c r="E32" s="1">
        <v>46128</v>
      </c>
      <c r="F32" t="s">
        <v>9</v>
      </c>
      <c r="G32" t="str">
        <f>VLOOKUP(C32,Products!A:E,2,0)</f>
        <v>Smart Watch</v>
      </c>
      <c r="H32" t="str">
        <f>VLOOKUP(C32,Products!A:E,3,0)</f>
        <v>Electronics</v>
      </c>
      <c r="I32">
        <f>VLOOKUP(C32,Products!A:E,4,0)</f>
        <v>200</v>
      </c>
      <c r="J32" t="str">
        <f>_xlfn.XLOOKUP(B32,Customers!A:A,Customers!B:B)</f>
        <v>Sobia Tariq</v>
      </c>
      <c r="K32" t="str">
        <f>_xlfn.XLOOKUP(B32,Customers!A:A,Customers!C:C)</f>
        <v>Lahore</v>
      </c>
      <c r="L32" t="str">
        <f>_xlfn.XLOOKUP(B32,Customers!A:A,Customers!D:D)</f>
        <v>Silver</v>
      </c>
      <c r="M32">
        <f t="shared" si="0"/>
        <v>400</v>
      </c>
      <c r="N32" t="str">
        <f>_xlfn.XLOOKUP(C32,Products!A:A,Products!E:E)</f>
        <v>Karachi</v>
      </c>
    </row>
    <row r="33" spans="1:14" x14ac:dyDescent="0.25">
      <c r="A33" t="s">
        <v>86</v>
      </c>
      <c r="B33" t="s">
        <v>87</v>
      </c>
      <c r="C33" t="s">
        <v>18</v>
      </c>
      <c r="D33">
        <v>2</v>
      </c>
      <c r="E33" s="1">
        <v>46128</v>
      </c>
      <c r="F33" t="s">
        <v>9</v>
      </c>
      <c r="G33" t="str">
        <f>VLOOKUP(C33,Products!A:E,2,0)</f>
        <v>Hair Serum</v>
      </c>
      <c r="H33" t="str">
        <f>VLOOKUP(C33,Products!A:E,3,0)</f>
        <v>Beauty</v>
      </c>
      <c r="I33">
        <f>VLOOKUP(C33,Products!A:E,4,0)</f>
        <v>35</v>
      </c>
      <c r="J33" t="str">
        <f>_xlfn.XLOOKUP(B33,Customers!A:A,Customers!B:B)</f>
        <v>Saad Butt</v>
      </c>
      <c r="K33" t="str">
        <f>_xlfn.XLOOKUP(B33,Customers!A:A,Customers!C:C)</f>
        <v>Islamabad</v>
      </c>
      <c r="L33" t="str">
        <f>_xlfn.XLOOKUP(B33,Customers!A:A,Customers!D:D)</f>
        <v>Gold</v>
      </c>
      <c r="M33">
        <f t="shared" si="0"/>
        <v>70</v>
      </c>
      <c r="N33" t="str">
        <f>_xlfn.XLOOKUP(C33,Products!A:A,Products!E:E)</f>
        <v>Islamabad</v>
      </c>
    </row>
    <row r="34" spans="1:14" x14ac:dyDescent="0.25">
      <c r="A34" t="s">
        <v>88</v>
      </c>
      <c r="B34" t="s">
        <v>89</v>
      </c>
      <c r="C34" t="s">
        <v>12</v>
      </c>
      <c r="D34">
        <v>1</v>
      </c>
      <c r="E34" s="1">
        <v>46129</v>
      </c>
      <c r="F34" t="s">
        <v>9</v>
      </c>
      <c r="G34" t="str">
        <f>VLOOKUP(C34,Products!A:E,2,0)</f>
        <v>Air Fryer</v>
      </c>
      <c r="H34" t="str">
        <f>VLOOKUP(C34,Products!A:E,3,0)</f>
        <v>Home &amp; Kitchen</v>
      </c>
      <c r="I34">
        <f>VLOOKUP(C34,Products!A:E,4,0)</f>
        <v>150</v>
      </c>
      <c r="J34" t="str">
        <f>_xlfn.XLOOKUP(B34,Customers!A:A,Customers!B:B)</f>
        <v>Mehwish Tariq</v>
      </c>
      <c r="K34" t="str">
        <f>_xlfn.XLOOKUP(B34,Customers!A:A,Customers!C:C)</f>
        <v>Faisalabad</v>
      </c>
      <c r="L34" t="str">
        <f>_xlfn.XLOOKUP(B34,Customers!A:A,Customers!D:D)</f>
        <v>Silver</v>
      </c>
      <c r="M34">
        <f t="shared" si="0"/>
        <v>150</v>
      </c>
      <c r="N34" t="str">
        <f>_xlfn.XLOOKUP(C34,Products!A:A,Products!E:E)</f>
        <v>Lahore</v>
      </c>
    </row>
    <row r="35" spans="1:14" x14ac:dyDescent="0.25">
      <c r="A35" t="s">
        <v>90</v>
      </c>
      <c r="B35" t="s">
        <v>91</v>
      </c>
      <c r="C35" t="s">
        <v>15</v>
      </c>
      <c r="D35">
        <v>3</v>
      </c>
      <c r="E35" s="1">
        <v>46129</v>
      </c>
      <c r="F35" t="s">
        <v>9</v>
      </c>
      <c r="G35" t="str">
        <f>VLOOKUP(C35,Products!A:E,2,0)</f>
        <v>Phone Case</v>
      </c>
      <c r="H35" t="str">
        <f>VLOOKUP(C35,Products!A:E,3,0)</f>
        <v>Electronics</v>
      </c>
      <c r="I35">
        <f>VLOOKUP(C35,Products!A:E,4,0)</f>
        <v>12</v>
      </c>
      <c r="J35" t="str">
        <f>_xlfn.XLOOKUP(B35,Customers!A:A,Customers!B:B)</f>
        <v>Fatima Malik</v>
      </c>
      <c r="K35" t="str">
        <f>_xlfn.XLOOKUP(B35,Customers!A:A,Customers!C:C)</f>
        <v>Karachi</v>
      </c>
      <c r="L35" t="str">
        <f>_xlfn.XLOOKUP(B35,Customers!A:A,Customers!D:D)</f>
        <v>Gold</v>
      </c>
      <c r="M35">
        <f t="shared" si="0"/>
        <v>36</v>
      </c>
      <c r="N35" t="str">
        <f>_xlfn.XLOOKUP(C35,Products!A:A,Products!E:E)</f>
        <v>Islamabad</v>
      </c>
    </row>
    <row r="36" spans="1:14" x14ac:dyDescent="0.25">
      <c r="A36" t="s">
        <v>92</v>
      </c>
      <c r="B36" t="s">
        <v>93</v>
      </c>
      <c r="C36" t="s">
        <v>35</v>
      </c>
      <c r="D36">
        <v>1</v>
      </c>
      <c r="E36" s="1">
        <v>46130</v>
      </c>
      <c r="F36" t="s">
        <v>29</v>
      </c>
      <c r="G36" t="str">
        <f>VLOOKUP(C36,Products!A:E,2,0)</f>
        <v>Face Serum</v>
      </c>
      <c r="H36" t="str">
        <f>VLOOKUP(C36,Products!A:E,3,0)</f>
        <v>Beauty</v>
      </c>
      <c r="I36">
        <f>VLOOKUP(C36,Products!A:E,4,0)</f>
        <v>30</v>
      </c>
      <c r="J36" t="str">
        <f>_xlfn.XLOOKUP(B36,Customers!A:A,Customers!B:B)</f>
        <v>Asad Mahmood</v>
      </c>
      <c r="K36" t="str">
        <f>_xlfn.XLOOKUP(B36,Customers!A:A,Customers!C:C)</f>
        <v>Karachi</v>
      </c>
      <c r="L36" t="str">
        <f>_xlfn.XLOOKUP(B36,Customers!A:A,Customers!D:D)</f>
        <v>Silver</v>
      </c>
      <c r="M36">
        <f t="shared" si="0"/>
        <v>30</v>
      </c>
      <c r="N36" t="str">
        <f>_xlfn.XLOOKUP(C36,Products!A:A,Products!E:E)</f>
        <v>Lahore</v>
      </c>
    </row>
    <row r="37" spans="1:14" x14ac:dyDescent="0.25">
      <c r="A37" t="s">
        <v>94</v>
      </c>
      <c r="B37" t="s">
        <v>95</v>
      </c>
      <c r="C37" t="s">
        <v>32</v>
      </c>
      <c r="D37">
        <v>2</v>
      </c>
      <c r="E37" s="1">
        <v>46130</v>
      </c>
      <c r="F37" t="s">
        <v>9</v>
      </c>
      <c r="G37" t="str">
        <f>VLOOKUP(C37,Products!A:E,2,0)</f>
        <v>Coffee Maker</v>
      </c>
      <c r="H37" t="str">
        <f>VLOOKUP(C37,Products!A:E,3,0)</f>
        <v>Home &amp; Kitchen</v>
      </c>
      <c r="I37">
        <f>VLOOKUP(C37,Products!A:E,4,0)</f>
        <v>110</v>
      </c>
      <c r="J37" t="str">
        <f>_xlfn.XLOOKUP(B37,Customers!A:A,Customers!B:B)</f>
        <v>Taha Qureshi</v>
      </c>
      <c r="K37" t="str">
        <f>_xlfn.XLOOKUP(B37,Customers!A:A,Customers!C:C)</f>
        <v>Lahore</v>
      </c>
      <c r="L37" t="str">
        <f>_xlfn.XLOOKUP(B37,Customers!A:A,Customers!D:D)</f>
        <v>Gold</v>
      </c>
      <c r="M37">
        <f t="shared" si="0"/>
        <v>220</v>
      </c>
      <c r="N37" t="str">
        <f>_xlfn.XLOOKUP(C37,Products!A:A,Products!E:E)</f>
        <v>Karachi</v>
      </c>
    </row>
    <row r="38" spans="1:14" x14ac:dyDescent="0.25">
      <c r="A38" t="s">
        <v>96</v>
      </c>
      <c r="B38" t="s">
        <v>97</v>
      </c>
      <c r="C38" t="s">
        <v>38</v>
      </c>
      <c r="D38">
        <v>1</v>
      </c>
      <c r="E38" s="1">
        <v>46131</v>
      </c>
      <c r="F38" t="s">
        <v>9</v>
      </c>
      <c r="G38" t="str">
        <f>VLOOKUP(C38,Products!A:E,2,0)</f>
        <v>Rice Cooker</v>
      </c>
      <c r="H38" t="str">
        <f>VLOOKUP(C38,Products!A:E,3,0)</f>
        <v>Home &amp; Kitchen</v>
      </c>
      <c r="I38">
        <f>VLOOKUP(C38,Products!A:E,4,0)</f>
        <v>95</v>
      </c>
      <c r="J38" t="str">
        <f>_xlfn.XLOOKUP(B38,Customers!A:A,Customers!B:B)</f>
        <v>Nadia Qureshi</v>
      </c>
      <c r="K38" t="str">
        <f>_xlfn.XLOOKUP(B38,Customers!A:A,Customers!C:C)</f>
        <v>Lahore</v>
      </c>
      <c r="L38" t="str">
        <f>_xlfn.XLOOKUP(B38,Customers!A:A,Customers!D:D)</f>
        <v>Gold</v>
      </c>
      <c r="M38">
        <f t="shared" si="0"/>
        <v>95</v>
      </c>
      <c r="N38" t="str">
        <f>_xlfn.XLOOKUP(C38,Products!A:A,Products!E:E)</f>
        <v>Rawalpindi</v>
      </c>
    </row>
    <row r="39" spans="1:14" x14ac:dyDescent="0.25">
      <c r="A39" t="s">
        <v>98</v>
      </c>
      <c r="B39" t="s">
        <v>99</v>
      </c>
      <c r="C39" t="s">
        <v>8</v>
      </c>
      <c r="D39">
        <v>3</v>
      </c>
      <c r="E39" s="1">
        <v>46131</v>
      </c>
      <c r="F39" t="s">
        <v>9</v>
      </c>
      <c r="G39" t="str">
        <f>VLOOKUP(C39,Products!A:E,2,0)</f>
        <v>Laptop Stand</v>
      </c>
      <c r="H39" t="str">
        <f>VLOOKUP(C39,Products!A:E,3,0)</f>
        <v>Electronics</v>
      </c>
      <c r="I39">
        <f>VLOOKUP(C39,Products!A:E,4,0)</f>
        <v>40</v>
      </c>
      <c r="J39" t="str">
        <f>_xlfn.XLOOKUP(B39,Customers!A:A,Customers!B:B)</f>
        <v>Maham Rizvi</v>
      </c>
      <c r="K39" t="str">
        <f>_xlfn.XLOOKUP(B39,Customers!A:A,Customers!C:C)</f>
        <v>Lahore</v>
      </c>
      <c r="L39" t="str">
        <f>_xlfn.XLOOKUP(B39,Customers!A:A,Customers!D:D)</f>
        <v>Silver</v>
      </c>
      <c r="M39">
        <f t="shared" si="0"/>
        <v>120</v>
      </c>
      <c r="N39" t="str">
        <f>_xlfn.XLOOKUP(C39,Products!A:A,Products!E:E)</f>
        <v>Rawalpindi</v>
      </c>
    </row>
    <row r="40" spans="1:14" x14ac:dyDescent="0.25">
      <c r="A40" t="s">
        <v>100</v>
      </c>
      <c r="B40" t="s">
        <v>101</v>
      </c>
      <c r="C40" t="s">
        <v>44</v>
      </c>
      <c r="D40">
        <v>2</v>
      </c>
      <c r="E40" s="1">
        <v>46132</v>
      </c>
      <c r="F40" t="s">
        <v>9</v>
      </c>
      <c r="G40" t="str">
        <f>VLOOKUP(C40,Products!A:E,2,0)</f>
        <v>Moisturizer</v>
      </c>
      <c r="H40" t="str">
        <f>VLOOKUP(C40,Products!A:E,3,0)</f>
        <v>Beauty</v>
      </c>
      <c r="I40">
        <f>VLOOKUP(C40,Products!A:E,4,0)</f>
        <v>25</v>
      </c>
      <c r="J40" t="str">
        <f>_xlfn.XLOOKUP(B40,Customers!A:A,Customers!B:B)</f>
        <v>Zubair Hassan</v>
      </c>
      <c r="K40" t="str">
        <f>_xlfn.XLOOKUP(B40,Customers!A:A,Customers!C:C)</f>
        <v>Rawalpindi</v>
      </c>
      <c r="L40" t="str">
        <f>_xlfn.XLOOKUP(B40,Customers!A:A,Customers!D:D)</f>
        <v>Gold</v>
      </c>
      <c r="M40">
        <f t="shared" si="0"/>
        <v>50</v>
      </c>
      <c r="N40" t="str">
        <f>_xlfn.XLOOKUP(C40,Products!A:A,Products!E:E)</f>
        <v>Lahore</v>
      </c>
    </row>
    <row r="41" spans="1:14" x14ac:dyDescent="0.25">
      <c r="A41" t="s">
        <v>102</v>
      </c>
      <c r="B41" t="s">
        <v>103</v>
      </c>
      <c r="C41" t="s">
        <v>28</v>
      </c>
      <c r="D41">
        <v>1</v>
      </c>
      <c r="E41" s="1">
        <v>46132</v>
      </c>
      <c r="F41" t="s">
        <v>19</v>
      </c>
      <c r="G41" t="str">
        <f>VLOOKUP(C41,Products!A:E,2,0)</f>
        <v>Wireless Earbuds</v>
      </c>
      <c r="H41" t="str">
        <f>VLOOKUP(C41,Products!A:E,3,0)</f>
        <v>Electronics</v>
      </c>
      <c r="I41">
        <f>VLOOKUP(C41,Products!A:E,4,0)</f>
        <v>45</v>
      </c>
      <c r="J41" t="str">
        <f>_xlfn.XLOOKUP(B41,Customers!A:A,Customers!B:B)</f>
        <v>Sundas Ali</v>
      </c>
      <c r="K41" t="str">
        <f>_xlfn.XLOOKUP(B41,Customers!A:A,Customers!C:C)</f>
        <v>Lahore</v>
      </c>
      <c r="L41" t="str">
        <f>_xlfn.XLOOKUP(B41,Customers!A:A,Customers!D:D)</f>
        <v>Gold</v>
      </c>
      <c r="M41">
        <f t="shared" si="0"/>
        <v>45</v>
      </c>
      <c r="N41" t="str">
        <f>_xlfn.XLOOKUP(C41,Products!A:A,Products!E:E)</f>
        <v>Lahore</v>
      </c>
    </row>
    <row r="42" spans="1:14" x14ac:dyDescent="0.25">
      <c r="A42" t="s">
        <v>104</v>
      </c>
      <c r="B42" t="s">
        <v>14</v>
      </c>
      <c r="C42" t="s">
        <v>47</v>
      </c>
      <c r="D42">
        <v>2</v>
      </c>
      <c r="E42" s="1">
        <v>46133</v>
      </c>
      <c r="F42" t="s">
        <v>9</v>
      </c>
      <c r="G42" t="str">
        <f>VLOOKUP(C42,Products!A:E,2,0)</f>
        <v>Blender</v>
      </c>
      <c r="H42" t="str">
        <f>VLOOKUP(C42,Products!A:E,3,0)</f>
        <v>Home &amp; Kitchen</v>
      </c>
      <c r="I42">
        <f>VLOOKUP(C42,Products!A:E,4,0)</f>
        <v>120</v>
      </c>
      <c r="J42" t="str">
        <f>_xlfn.XLOOKUP(B42,Customers!A:A,Customers!B:B)</f>
        <v>Omar Tariq</v>
      </c>
      <c r="K42" t="str">
        <f>_xlfn.XLOOKUP(B42,Customers!A:A,Customers!C:C)</f>
        <v>Karachi</v>
      </c>
      <c r="L42" t="str">
        <f>_xlfn.XLOOKUP(B42,Customers!A:A,Customers!D:D)</f>
        <v>Gold</v>
      </c>
      <c r="M42">
        <f t="shared" si="0"/>
        <v>240</v>
      </c>
      <c r="N42" t="str">
        <f>_xlfn.XLOOKUP(C42,Products!A:A,Products!E:E)</f>
        <v>Islamabad</v>
      </c>
    </row>
    <row r="43" spans="1:14" x14ac:dyDescent="0.25">
      <c r="A43" t="s">
        <v>105</v>
      </c>
      <c r="B43" t="s">
        <v>106</v>
      </c>
      <c r="C43" t="s">
        <v>50</v>
      </c>
      <c r="D43">
        <v>1</v>
      </c>
      <c r="E43" s="1">
        <v>46133</v>
      </c>
      <c r="F43" t="s">
        <v>9</v>
      </c>
      <c r="G43" t="str">
        <f>VLOOKUP(C43,Products!A:E,2,0)</f>
        <v>Bluetooth Speaker</v>
      </c>
      <c r="H43" t="str">
        <f>VLOOKUP(C43,Products!A:E,3,0)</f>
        <v>Electronics</v>
      </c>
      <c r="I43">
        <f>VLOOKUP(C43,Products!A:E,4,0)</f>
        <v>95</v>
      </c>
      <c r="J43" t="str">
        <f>_xlfn.XLOOKUP(B43,Customers!A:A,Customers!B:B)</f>
        <v>Ahmed Raza</v>
      </c>
      <c r="K43" t="str">
        <f>_xlfn.XLOOKUP(B43,Customers!A:A,Customers!C:C)</f>
        <v>Karachi</v>
      </c>
      <c r="L43" t="str">
        <f>_xlfn.XLOOKUP(B43,Customers!A:A,Customers!D:D)</f>
        <v>Bronze</v>
      </c>
      <c r="M43">
        <f t="shared" si="0"/>
        <v>95</v>
      </c>
      <c r="N43" t="str">
        <f>_xlfn.XLOOKUP(C43,Products!A:A,Products!E:E)</f>
        <v>Karachi</v>
      </c>
    </row>
    <row r="44" spans="1:14" x14ac:dyDescent="0.25">
      <c r="A44" t="s">
        <v>107</v>
      </c>
      <c r="B44" t="s">
        <v>108</v>
      </c>
      <c r="C44" t="s">
        <v>53</v>
      </c>
      <c r="D44">
        <v>3</v>
      </c>
      <c r="E44" s="1">
        <v>46134</v>
      </c>
      <c r="F44" t="s">
        <v>9</v>
      </c>
      <c r="G44" t="str">
        <f>VLOOKUP(C44,Products!A:E,2,0)</f>
        <v>Night Cream</v>
      </c>
      <c r="H44" t="str">
        <f>VLOOKUP(C44,Products!A:E,3,0)</f>
        <v>Beauty</v>
      </c>
      <c r="I44">
        <f>VLOOKUP(C44,Products!A:E,4,0)</f>
        <v>40</v>
      </c>
      <c r="J44" t="str">
        <f>_xlfn.XLOOKUP(B44,Customers!A:A,Customers!B:B)</f>
        <v>Rida Fatima</v>
      </c>
      <c r="K44" t="str">
        <f>_xlfn.XLOOKUP(B44,Customers!A:A,Customers!C:C)</f>
        <v>Rawalpindi</v>
      </c>
      <c r="L44" t="str">
        <f>_xlfn.XLOOKUP(B44,Customers!A:A,Customers!D:D)</f>
        <v>Silver</v>
      </c>
      <c r="M44">
        <f t="shared" si="0"/>
        <v>120</v>
      </c>
      <c r="N44" t="str">
        <f>_xlfn.XLOOKUP(C44,Products!A:A,Products!E:E)</f>
        <v>Faisalabad</v>
      </c>
    </row>
    <row r="45" spans="1:14" x14ac:dyDescent="0.25">
      <c r="A45" t="s">
        <v>109</v>
      </c>
      <c r="B45" t="s">
        <v>110</v>
      </c>
      <c r="C45" t="s">
        <v>25</v>
      </c>
      <c r="D45">
        <v>1</v>
      </c>
      <c r="E45" s="1">
        <v>46134</v>
      </c>
      <c r="F45" t="s">
        <v>9</v>
      </c>
      <c r="G45" t="str">
        <f>VLOOKUP(C45,Products!A:E,2,0)</f>
        <v>Sunscreen</v>
      </c>
      <c r="H45" t="str">
        <f>VLOOKUP(C45,Products!A:E,3,0)</f>
        <v>Beauty</v>
      </c>
      <c r="I45">
        <f>VLOOKUP(C45,Products!A:E,4,0)</f>
        <v>15</v>
      </c>
      <c r="J45" t="str">
        <f>_xlfn.XLOOKUP(B45,Customers!A:A,Customers!B:B)</f>
        <v>Usman Sheikh</v>
      </c>
      <c r="K45" t="str">
        <f>_xlfn.XLOOKUP(B45,Customers!A:A,Customers!C:C)</f>
        <v>Rawalpindi</v>
      </c>
      <c r="L45" t="str">
        <f>_xlfn.XLOOKUP(B45,Customers!A:A,Customers!D:D)</f>
        <v>Silver</v>
      </c>
      <c r="M45">
        <f t="shared" si="0"/>
        <v>15</v>
      </c>
      <c r="N45" t="str">
        <f>_xlfn.XLOOKUP(C45,Products!A:A,Products!E:E)</f>
        <v>Karachi</v>
      </c>
    </row>
    <row r="46" spans="1:14" x14ac:dyDescent="0.25">
      <c r="A46" t="s">
        <v>111</v>
      </c>
      <c r="B46" t="s">
        <v>112</v>
      </c>
      <c r="C46" t="s">
        <v>22</v>
      </c>
      <c r="D46">
        <v>2</v>
      </c>
      <c r="E46" s="1">
        <v>46135</v>
      </c>
      <c r="F46" t="s">
        <v>9</v>
      </c>
      <c r="G46" t="str">
        <f>VLOOKUP(C46,Products!A:E,2,0)</f>
        <v>Kettle</v>
      </c>
      <c r="H46" t="str">
        <f>VLOOKUP(C46,Products!A:E,3,0)</f>
        <v>Home &amp; Kitchen</v>
      </c>
      <c r="I46">
        <f>VLOOKUP(C46,Products!A:E,4,0)</f>
        <v>65</v>
      </c>
      <c r="J46" t="str">
        <f>_xlfn.XLOOKUP(B46,Customers!A:A,Customers!B:B)</f>
        <v>Hira Baig</v>
      </c>
      <c r="K46" t="str">
        <f>_xlfn.XLOOKUP(B46,Customers!A:A,Customers!C:C)</f>
        <v>Rawalpindi</v>
      </c>
      <c r="L46" t="str">
        <f>_xlfn.XLOOKUP(B46,Customers!A:A,Customers!D:D)</f>
        <v>Bronze</v>
      </c>
      <c r="M46">
        <f t="shared" si="0"/>
        <v>130</v>
      </c>
      <c r="N46" t="str">
        <f>_xlfn.XLOOKUP(C46,Products!A:A,Products!E:E)</f>
        <v>Karachi</v>
      </c>
    </row>
    <row r="47" spans="1:14" x14ac:dyDescent="0.25">
      <c r="A47" t="s">
        <v>113</v>
      </c>
      <c r="B47" t="s">
        <v>114</v>
      </c>
      <c r="C47" t="s">
        <v>18</v>
      </c>
      <c r="D47">
        <v>1</v>
      </c>
      <c r="E47" s="1">
        <v>46135</v>
      </c>
      <c r="F47" t="s">
        <v>9</v>
      </c>
      <c r="G47" t="str">
        <f>VLOOKUP(C47,Products!A:E,2,0)</f>
        <v>Hair Serum</v>
      </c>
      <c r="H47" t="str">
        <f>VLOOKUP(C47,Products!A:E,3,0)</f>
        <v>Beauty</v>
      </c>
      <c r="I47">
        <f>VLOOKUP(C47,Products!A:E,4,0)</f>
        <v>35</v>
      </c>
      <c r="J47" t="str">
        <f>_xlfn.XLOOKUP(B47,Customers!A:A,Customers!B:B)</f>
        <v>Hassan Butt</v>
      </c>
      <c r="K47" t="str">
        <f>_xlfn.XLOOKUP(B47,Customers!A:A,Customers!C:C)</f>
        <v>Lahore</v>
      </c>
      <c r="L47" t="str">
        <f>_xlfn.XLOOKUP(B47,Customers!A:A,Customers!D:D)</f>
        <v>Gold</v>
      </c>
      <c r="M47">
        <f t="shared" si="0"/>
        <v>35</v>
      </c>
      <c r="N47" t="str">
        <f>_xlfn.XLOOKUP(C47,Products!A:A,Products!E:E)</f>
        <v>Islamabad</v>
      </c>
    </row>
    <row r="48" spans="1:14" x14ac:dyDescent="0.25">
      <c r="A48" t="s">
        <v>115</v>
      </c>
      <c r="B48" t="s">
        <v>116</v>
      </c>
      <c r="C48" t="s">
        <v>15</v>
      </c>
      <c r="D48">
        <v>2</v>
      </c>
      <c r="E48" s="1">
        <v>46136</v>
      </c>
      <c r="F48" t="s">
        <v>9</v>
      </c>
      <c r="G48" t="str">
        <f>VLOOKUP(C48,Products!A:E,2,0)</f>
        <v>Phone Case</v>
      </c>
      <c r="H48" t="str">
        <f>VLOOKUP(C48,Products!A:E,3,0)</f>
        <v>Electronics</v>
      </c>
      <c r="I48">
        <f>VLOOKUP(C48,Products!A:E,4,0)</f>
        <v>12</v>
      </c>
      <c r="J48" t="str">
        <f>_xlfn.XLOOKUP(B48,Customers!A:A,Customers!B:B)</f>
        <v>Danish Khan</v>
      </c>
      <c r="K48" t="str">
        <f>_xlfn.XLOOKUP(B48,Customers!A:A,Customers!C:C)</f>
        <v>Faisalabad</v>
      </c>
      <c r="L48" t="str">
        <f>_xlfn.XLOOKUP(B48,Customers!A:A,Customers!D:D)</f>
        <v>Silver</v>
      </c>
      <c r="M48">
        <f t="shared" si="0"/>
        <v>24</v>
      </c>
      <c r="N48" t="str">
        <f>_xlfn.XLOOKUP(C48,Products!A:A,Products!E:E)</f>
        <v>Islamabad</v>
      </c>
    </row>
    <row r="49" spans="1:14" x14ac:dyDescent="0.25">
      <c r="A49" t="s">
        <v>117</v>
      </c>
      <c r="B49" t="s">
        <v>118</v>
      </c>
      <c r="C49" t="s">
        <v>35</v>
      </c>
      <c r="D49">
        <v>4</v>
      </c>
      <c r="E49" s="1">
        <v>46136</v>
      </c>
      <c r="F49" t="s">
        <v>9</v>
      </c>
      <c r="G49" t="str">
        <f>VLOOKUP(C49,Products!A:E,2,0)</f>
        <v>Face Serum</v>
      </c>
      <c r="H49" t="str">
        <f>VLOOKUP(C49,Products!A:E,3,0)</f>
        <v>Beauty</v>
      </c>
      <c r="I49">
        <f>VLOOKUP(C49,Products!A:E,4,0)</f>
        <v>30</v>
      </c>
      <c r="J49" t="str">
        <f>_xlfn.XLOOKUP(B49,Customers!A:A,Customers!B:B)</f>
        <v>Yusuf Khan</v>
      </c>
      <c r="K49" t="str">
        <f>_xlfn.XLOOKUP(B49,Customers!A:A,Customers!C:C)</f>
        <v>Islamabad</v>
      </c>
      <c r="L49" t="str">
        <f>_xlfn.XLOOKUP(B49,Customers!A:A,Customers!D:D)</f>
        <v>Silver</v>
      </c>
      <c r="M49">
        <f t="shared" si="0"/>
        <v>120</v>
      </c>
      <c r="N49" t="str">
        <f>_xlfn.XLOOKUP(C49,Products!A:A,Products!E:E)</f>
        <v>Lahore</v>
      </c>
    </row>
    <row r="50" spans="1:14" x14ac:dyDescent="0.25">
      <c r="A50" t="s">
        <v>119</v>
      </c>
      <c r="B50" t="s">
        <v>120</v>
      </c>
      <c r="C50" t="s">
        <v>32</v>
      </c>
      <c r="D50">
        <v>1</v>
      </c>
      <c r="E50" s="1">
        <v>46137</v>
      </c>
      <c r="F50" t="s">
        <v>19</v>
      </c>
      <c r="G50" t="str">
        <f>VLOOKUP(C50,Products!A:E,2,0)</f>
        <v>Coffee Maker</v>
      </c>
      <c r="H50" t="str">
        <f>VLOOKUP(C50,Products!A:E,3,0)</f>
        <v>Home &amp; Kitchen</v>
      </c>
      <c r="I50">
        <f>VLOOKUP(C50,Products!A:E,4,0)</f>
        <v>110</v>
      </c>
      <c r="J50" t="str">
        <f>_xlfn.XLOOKUP(B50,Customers!A:A,Customers!B:B)</f>
        <v>Lubna Shah</v>
      </c>
      <c r="K50" t="str">
        <f>_xlfn.XLOOKUP(B50,Customers!A:A,Customers!C:C)</f>
        <v>Karachi</v>
      </c>
      <c r="L50" t="str">
        <f>_xlfn.XLOOKUP(B50,Customers!A:A,Customers!D:D)</f>
        <v>Silver</v>
      </c>
      <c r="M50">
        <f t="shared" si="0"/>
        <v>110</v>
      </c>
      <c r="N50" t="str">
        <f>_xlfn.XLOOKUP(C50,Products!A:A,Products!E:E)</f>
        <v>Karachi</v>
      </c>
    </row>
    <row r="51" spans="1:14" x14ac:dyDescent="0.25">
      <c r="A51" t="s">
        <v>121</v>
      </c>
      <c r="B51" t="s">
        <v>122</v>
      </c>
      <c r="C51" t="s">
        <v>38</v>
      </c>
      <c r="D51">
        <v>2</v>
      </c>
      <c r="E51" s="1">
        <v>46137</v>
      </c>
      <c r="F51" t="s">
        <v>9</v>
      </c>
      <c r="G51" t="str">
        <f>VLOOKUP(C51,Products!A:E,2,0)</f>
        <v>Rice Cooker</v>
      </c>
      <c r="H51" t="str">
        <f>VLOOKUP(C51,Products!A:E,3,0)</f>
        <v>Home &amp; Kitchen</v>
      </c>
      <c r="I51">
        <f>VLOOKUP(C51,Products!A:E,4,0)</f>
        <v>95</v>
      </c>
      <c r="J51" t="str">
        <f>_xlfn.XLOOKUP(B51,Customers!A:A,Customers!B:B)</f>
        <v>Zeeshan Malik</v>
      </c>
      <c r="K51" t="str">
        <f>_xlfn.XLOOKUP(B51,Customers!A:A,Customers!C:C)</f>
        <v>Karachi</v>
      </c>
      <c r="L51" t="str">
        <f>_xlfn.XLOOKUP(B51,Customers!A:A,Customers!D:D)</f>
        <v>Gold</v>
      </c>
      <c r="M51">
        <f t="shared" si="0"/>
        <v>190</v>
      </c>
      <c r="N51" t="str">
        <f>_xlfn.XLOOKUP(C51,Products!A:A,Products!E:E)</f>
        <v>Rawalpindi</v>
      </c>
    </row>
    <row r="52" spans="1:14" x14ac:dyDescent="0.25">
      <c r="A52" t="s">
        <v>123</v>
      </c>
      <c r="B52" t="s">
        <v>7</v>
      </c>
      <c r="C52" t="s">
        <v>28</v>
      </c>
      <c r="D52">
        <v>3</v>
      </c>
      <c r="E52" s="1">
        <v>46138</v>
      </c>
      <c r="F52" t="s">
        <v>9</v>
      </c>
      <c r="G52" t="str">
        <f>VLOOKUP(C52,Products!A:E,2,0)</f>
        <v>Wireless Earbuds</v>
      </c>
      <c r="H52" t="str">
        <f>VLOOKUP(C52,Products!A:E,3,0)</f>
        <v>Electronics</v>
      </c>
      <c r="I52">
        <f>VLOOKUP(C52,Products!A:E,4,0)</f>
        <v>45</v>
      </c>
      <c r="J52" t="str">
        <f>_xlfn.XLOOKUP(B52,Customers!A:A,Customers!B:B)</f>
        <v>Mariam Javed</v>
      </c>
      <c r="K52" t="str">
        <f>_xlfn.XLOOKUP(B52,Customers!A:A,Customers!C:C)</f>
        <v>Rawalpindi</v>
      </c>
      <c r="L52" t="str">
        <f>_xlfn.XLOOKUP(B52,Customers!A:A,Customers!D:D)</f>
        <v>Bronze</v>
      </c>
      <c r="M52">
        <f t="shared" si="0"/>
        <v>135</v>
      </c>
      <c r="N52" t="str">
        <f>_xlfn.XLOOKUP(C52,Products!A:A,Products!E:E)</f>
        <v>Lahore</v>
      </c>
    </row>
    <row r="53" spans="1:14" x14ac:dyDescent="0.25">
      <c r="A53" t="s">
        <v>124</v>
      </c>
      <c r="B53" t="s">
        <v>11</v>
      </c>
      <c r="C53" t="s">
        <v>44</v>
      </c>
      <c r="D53">
        <v>1</v>
      </c>
      <c r="E53" s="1">
        <v>46138</v>
      </c>
      <c r="F53" t="s">
        <v>9</v>
      </c>
      <c r="G53" t="str">
        <f>VLOOKUP(C53,Products!A:E,2,0)</f>
        <v>Moisturizer</v>
      </c>
      <c r="H53" t="str">
        <f>VLOOKUP(C53,Products!A:E,3,0)</f>
        <v>Beauty</v>
      </c>
      <c r="I53">
        <f>VLOOKUP(C53,Products!A:E,4,0)</f>
        <v>25</v>
      </c>
      <c r="J53" t="str">
        <f>_xlfn.XLOOKUP(B53,Customers!A:A,Customers!B:B)</f>
        <v>Rabia Tariq</v>
      </c>
      <c r="K53" t="str">
        <f>_xlfn.XLOOKUP(B53,Customers!A:A,Customers!C:C)</f>
        <v>Karachi</v>
      </c>
      <c r="L53" t="str">
        <f>_xlfn.XLOOKUP(B53,Customers!A:A,Customers!D:D)</f>
        <v>Gold</v>
      </c>
      <c r="M53">
        <f t="shared" si="0"/>
        <v>25</v>
      </c>
      <c r="N53" t="str">
        <f>_xlfn.XLOOKUP(C53,Products!A:A,Products!E:E)</f>
        <v>Lahore</v>
      </c>
    </row>
    <row r="54" spans="1:14" x14ac:dyDescent="0.25">
      <c r="A54" t="s">
        <v>125</v>
      </c>
      <c r="B54" t="s">
        <v>14</v>
      </c>
      <c r="C54" t="s">
        <v>47</v>
      </c>
      <c r="D54">
        <v>2</v>
      </c>
      <c r="E54" s="1">
        <v>46139</v>
      </c>
      <c r="F54" t="s">
        <v>9</v>
      </c>
      <c r="G54" t="str">
        <f>VLOOKUP(C54,Products!A:E,2,0)</f>
        <v>Blender</v>
      </c>
      <c r="H54" t="str">
        <f>VLOOKUP(C54,Products!A:E,3,0)</f>
        <v>Home &amp; Kitchen</v>
      </c>
      <c r="I54">
        <f>VLOOKUP(C54,Products!A:E,4,0)</f>
        <v>120</v>
      </c>
      <c r="J54" t="str">
        <f>_xlfn.XLOOKUP(B54,Customers!A:A,Customers!B:B)</f>
        <v>Omar Tariq</v>
      </c>
      <c r="K54" t="str">
        <f>_xlfn.XLOOKUP(B54,Customers!A:A,Customers!C:C)</f>
        <v>Karachi</v>
      </c>
      <c r="L54" t="str">
        <f>_xlfn.XLOOKUP(B54,Customers!A:A,Customers!D:D)</f>
        <v>Gold</v>
      </c>
      <c r="M54">
        <f t="shared" si="0"/>
        <v>240</v>
      </c>
      <c r="N54" t="str">
        <f>_xlfn.XLOOKUP(C54,Products!A:A,Products!E:E)</f>
        <v>Islamabad</v>
      </c>
    </row>
    <row r="55" spans="1:14" x14ac:dyDescent="0.25">
      <c r="A55" t="s">
        <v>126</v>
      </c>
      <c r="B55" t="s">
        <v>17</v>
      </c>
      <c r="C55" t="s">
        <v>8</v>
      </c>
      <c r="D55">
        <v>1</v>
      </c>
      <c r="E55" s="1">
        <v>46139</v>
      </c>
      <c r="F55" t="s">
        <v>9</v>
      </c>
      <c r="G55" t="str">
        <f>VLOOKUP(C55,Products!A:E,2,0)</f>
        <v>Laptop Stand</v>
      </c>
      <c r="H55" t="str">
        <f>VLOOKUP(C55,Products!A:E,3,0)</f>
        <v>Electronics</v>
      </c>
      <c r="I55">
        <f>VLOOKUP(C55,Products!A:E,4,0)</f>
        <v>40</v>
      </c>
      <c r="J55" t="str">
        <f>_xlfn.XLOOKUP(B55,Customers!A:A,Customers!B:B)</f>
        <v>Faisal Chaudhry</v>
      </c>
      <c r="K55" t="str">
        <f>_xlfn.XLOOKUP(B55,Customers!A:A,Customers!C:C)</f>
        <v>Islamabad</v>
      </c>
      <c r="L55" t="str">
        <f>_xlfn.XLOOKUP(B55,Customers!A:A,Customers!D:D)</f>
        <v>Bronze</v>
      </c>
      <c r="M55">
        <f t="shared" si="0"/>
        <v>40</v>
      </c>
      <c r="N55" t="str">
        <f>_xlfn.XLOOKUP(C55,Products!A:A,Products!E:E)</f>
        <v>Rawalpindi</v>
      </c>
    </row>
    <row r="56" spans="1:14" x14ac:dyDescent="0.25">
      <c r="A56" t="s">
        <v>127</v>
      </c>
      <c r="B56" t="s">
        <v>21</v>
      </c>
      <c r="C56" t="s">
        <v>53</v>
      </c>
      <c r="D56">
        <v>3</v>
      </c>
      <c r="E56" s="1">
        <v>46140</v>
      </c>
      <c r="F56" t="s">
        <v>9</v>
      </c>
      <c r="G56" t="str">
        <f>VLOOKUP(C56,Products!A:E,2,0)</f>
        <v>Night Cream</v>
      </c>
      <c r="H56" t="str">
        <f>VLOOKUP(C56,Products!A:E,3,0)</f>
        <v>Beauty</v>
      </c>
      <c r="I56">
        <f>VLOOKUP(C56,Products!A:E,4,0)</f>
        <v>40</v>
      </c>
      <c r="J56" t="str">
        <f>_xlfn.XLOOKUP(B56,Customers!A:A,Customers!B:B)</f>
        <v>Maryam Shah</v>
      </c>
      <c r="K56" t="str">
        <f>_xlfn.XLOOKUP(B56,Customers!A:A,Customers!C:C)</f>
        <v>Karachi</v>
      </c>
      <c r="L56" t="str">
        <f>_xlfn.XLOOKUP(B56,Customers!A:A,Customers!D:D)</f>
        <v>Bronze</v>
      </c>
      <c r="M56">
        <f t="shared" si="0"/>
        <v>120</v>
      </c>
      <c r="N56" t="str">
        <f>_xlfn.XLOOKUP(C56,Products!A:A,Products!E:E)</f>
        <v>Faisalabad</v>
      </c>
    </row>
    <row r="57" spans="1:14" x14ac:dyDescent="0.25">
      <c r="A57" t="s">
        <v>128</v>
      </c>
      <c r="B57" t="s">
        <v>24</v>
      </c>
      <c r="C57" t="s">
        <v>25</v>
      </c>
      <c r="D57">
        <v>2</v>
      </c>
      <c r="E57" s="1">
        <v>46140</v>
      </c>
      <c r="F57" t="s">
        <v>9</v>
      </c>
      <c r="G57" t="str">
        <f>VLOOKUP(C57,Products!A:E,2,0)</f>
        <v>Sunscreen</v>
      </c>
      <c r="H57" t="str">
        <f>VLOOKUP(C57,Products!A:E,3,0)</f>
        <v>Beauty</v>
      </c>
      <c r="I57">
        <f>VLOOKUP(C57,Products!A:E,4,0)</f>
        <v>15</v>
      </c>
      <c r="J57" t="str">
        <f>_xlfn.XLOOKUP(B57,Customers!A:A,Customers!B:B)</f>
        <v>Bilal Raza</v>
      </c>
      <c r="K57" t="str">
        <f>_xlfn.XLOOKUP(B57,Customers!A:A,Customers!C:C)</f>
        <v>Islamabad</v>
      </c>
      <c r="L57" t="str">
        <f>_xlfn.XLOOKUP(B57,Customers!A:A,Customers!D:D)</f>
        <v>Bronze</v>
      </c>
      <c r="M57">
        <f t="shared" si="0"/>
        <v>30</v>
      </c>
      <c r="N57" t="str">
        <f>_xlfn.XLOOKUP(C57,Products!A:A,Products!E:E)</f>
        <v>Karachi</v>
      </c>
    </row>
    <row r="58" spans="1:14" x14ac:dyDescent="0.25">
      <c r="A58" t="s">
        <v>129</v>
      </c>
      <c r="B58" t="s">
        <v>27</v>
      </c>
      <c r="C58" t="s">
        <v>50</v>
      </c>
      <c r="D58">
        <v>1</v>
      </c>
      <c r="E58" s="1">
        <v>46141</v>
      </c>
      <c r="F58" t="s">
        <v>29</v>
      </c>
      <c r="G58" t="str">
        <f>VLOOKUP(C58,Products!A:E,2,0)</f>
        <v>Bluetooth Speaker</v>
      </c>
      <c r="H58" t="str">
        <f>VLOOKUP(C58,Products!A:E,3,0)</f>
        <v>Electronics</v>
      </c>
      <c r="I58">
        <f>VLOOKUP(C58,Products!A:E,4,0)</f>
        <v>95</v>
      </c>
      <c r="J58" t="str">
        <f>_xlfn.XLOOKUP(B58,Customers!A:A,Customers!B:B)</f>
        <v>Amna Rizvi</v>
      </c>
      <c r="K58" t="str">
        <f>_xlfn.XLOOKUP(B58,Customers!A:A,Customers!C:C)</f>
        <v>Lahore</v>
      </c>
      <c r="L58" t="str">
        <f>_xlfn.XLOOKUP(B58,Customers!A:A,Customers!D:D)</f>
        <v>Bronze</v>
      </c>
      <c r="M58">
        <f t="shared" si="0"/>
        <v>95</v>
      </c>
      <c r="N58" t="str">
        <f>_xlfn.XLOOKUP(C58,Products!A:A,Products!E:E)</f>
        <v>Karachi</v>
      </c>
    </row>
    <row r="59" spans="1:14" x14ac:dyDescent="0.25">
      <c r="A59" t="s">
        <v>130</v>
      </c>
      <c r="B59" t="s">
        <v>31</v>
      </c>
      <c r="C59" t="s">
        <v>12</v>
      </c>
      <c r="D59">
        <v>2</v>
      </c>
      <c r="E59" s="1">
        <v>46141</v>
      </c>
      <c r="F59" t="s">
        <v>9</v>
      </c>
      <c r="G59" t="str">
        <f>VLOOKUP(C59,Products!A:E,2,0)</f>
        <v>Air Fryer</v>
      </c>
      <c r="H59" t="str">
        <f>VLOOKUP(C59,Products!A:E,3,0)</f>
        <v>Home &amp; Kitchen</v>
      </c>
      <c r="I59">
        <f>VLOOKUP(C59,Products!A:E,4,0)</f>
        <v>150</v>
      </c>
      <c r="J59" t="str">
        <f>_xlfn.XLOOKUP(B59,Customers!A:A,Customers!B:B)</f>
        <v>Sana Malik</v>
      </c>
      <c r="K59" t="str">
        <f>_xlfn.XLOOKUP(B59,Customers!A:A,Customers!C:C)</f>
        <v>Lahore</v>
      </c>
      <c r="L59" t="str">
        <f>_xlfn.XLOOKUP(B59,Customers!A:A,Customers!D:D)</f>
        <v>Silver</v>
      </c>
      <c r="M59">
        <f t="shared" si="0"/>
        <v>300</v>
      </c>
      <c r="N59" t="str">
        <f>_xlfn.XLOOKUP(C59,Products!A:A,Products!E:E)</f>
        <v>Lahore</v>
      </c>
    </row>
    <row r="60" spans="1:14" x14ac:dyDescent="0.25">
      <c r="A60" t="s">
        <v>131</v>
      </c>
      <c r="B60" t="s">
        <v>34</v>
      </c>
      <c r="C60" t="s">
        <v>18</v>
      </c>
      <c r="D60">
        <v>1</v>
      </c>
      <c r="E60" s="1">
        <v>46142</v>
      </c>
      <c r="F60" t="s">
        <v>9</v>
      </c>
      <c r="G60" t="str">
        <f>VLOOKUP(C60,Products!A:E,2,0)</f>
        <v>Hair Serum</v>
      </c>
      <c r="H60" t="str">
        <f>VLOOKUP(C60,Products!A:E,3,0)</f>
        <v>Beauty</v>
      </c>
      <c r="I60">
        <f>VLOOKUP(C60,Products!A:E,4,0)</f>
        <v>35</v>
      </c>
      <c r="J60" t="str">
        <f>_xlfn.XLOOKUP(B60,Customers!A:A,Customers!B:B)</f>
        <v>Farah Noor</v>
      </c>
      <c r="K60" t="str">
        <f>_xlfn.XLOOKUP(B60,Customers!A:A,Customers!C:C)</f>
        <v>Karachi</v>
      </c>
      <c r="L60" t="str">
        <f>_xlfn.XLOOKUP(B60,Customers!A:A,Customers!D:D)</f>
        <v>Silver</v>
      </c>
      <c r="M60">
        <f t="shared" si="0"/>
        <v>35</v>
      </c>
      <c r="N60" t="str">
        <f>_xlfn.XLOOKUP(C60,Products!A:A,Products!E:E)</f>
        <v>Islamabad</v>
      </c>
    </row>
    <row r="61" spans="1:14" x14ac:dyDescent="0.25">
      <c r="A61" t="s">
        <v>132</v>
      </c>
      <c r="B61" t="s">
        <v>37</v>
      </c>
      <c r="C61" t="s">
        <v>15</v>
      </c>
      <c r="D61">
        <v>3</v>
      </c>
      <c r="E61" s="1">
        <v>46142</v>
      </c>
      <c r="F61" t="s">
        <v>19</v>
      </c>
      <c r="G61" t="str">
        <f>VLOOKUP(C61,Products!A:E,2,0)</f>
        <v>Phone Case</v>
      </c>
      <c r="H61" t="str">
        <f>VLOOKUP(C61,Products!A:E,3,0)</f>
        <v>Electronics</v>
      </c>
      <c r="I61">
        <f>VLOOKUP(C61,Products!A:E,4,0)</f>
        <v>12</v>
      </c>
      <c r="J61" t="str">
        <f>_xlfn.XLOOKUP(B61,Customers!A:A,Customers!B:B)</f>
        <v>Talha Mirza</v>
      </c>
      <c r="K61" t="str">
        <f>_xlfn.XLOOKUP(B61,Customers!A:A,Customers!C:C)</f>
        <v>Lahore</v>
      </c>
      <c r="L61" t="str">
        <f>_xlfn.XLOOKUP(B61,Customers!A:A,Customers!D:D)</f>
        <v>Bronze</v>
      </c>
      <c r="M61">
        <f t="shared" si="0"/>
        <v>36</v>
      </c>
      <c r="N61" t="str">
        <f>_xlfn.XLOOKUP(C61,Products!A:A,Products!E:E)</f>
        <v>Islamabad</v>
      </c>
    </row>
    <row r="62" spans="1:14" x14ac:dyDescent="0.25">
      <c r="A62" t="s">
        <v>133</v>
      </c>
      <c r="B62" t="s">
        <v>40</v>
      </c>
      <c r="C62" t="s">
        <v>32</v>
      </c>
      <c r="D62">
        <v>2</v>
      </c>
      <c r="E62" s="1">
        <v>46143</v>
      </c>
      <c r="F62" t="s">
        <v>9</v>
      </c>
      <c r="G62" t="str">
        <f>VLOOKUP(C62,Products!A:E,2,0)</f>
        <v>Coffee Maker</v>
      </c>
      <c r="H62" t="str">
        <f>VLOOKUP(C62,Products!A:E,3,0)</f>
        <v>Home &amp; Kitchen</v>
      </c>
      <c r="I62">
        <f>VLOOKUP(C62,Products!A:E,4,0)</f>
        <v>110</v>
      </c>
      <c r="J62" t="str">
        <f>_xlfn.XLOOKUP(B62,Customers!A:A,Customers!B:B)</f>
        <v>Ayesha Siddiqui</v>
      </c>
      <c r="K62" t="str">
        <f>_xlfn.XLOOKUP(B62,Customers!A:A,Customers!C:C)</f>
        <v>Islamabad</v>
      </c>
      <c r="L62" t="str">
        <f>_xlfn.XLOOKUP(B62,Customers!A:A,Customers!D:D)</f>
        <v>Silver</v>
      </c>
      <c r="M62">
        <f t="shared" si="0"/>
        <v>220</v>
      </c>
      <c r="N62" t="str">
        <f>_xlfn.XLOOKUP(C62,Products!A:A,Products!E:E)</f>
        <v>Karachi</v>
      </c>
    </row>
    <row r="63" spans="1:14" x14ac:dyDescent="0.25">
      <c r="A63" t="s">
        <v>134</v>
      </c>
      <c r="B63" t="s">
        <v>43</v>
      </c>
      <c r="C63" t="s">
        <v>35</v>
      </c>
      <c r="D63">
        <v>1</v>
      </c>
      <c r="E63" s="1">
        <v>46143</v>
      </c>
      <c r="F63" t="s">
        <v>9</v>
      </c>
      <c r="G63" t="str">
        <f>VLOOKUP(C63,Products!A:E,2,0)</f>
        <v>Face Serum</v>
      </c>
      <c r="H63" t="str">
        <f>VLOOKUP(C63,Products!A:E,3,0)</f>
        <v>Beauty</v>
      </c>
      <c r="I63">
        <f>VLOOKUP(C63,Products!A:E,4,0)</f>
        <v>30</v>
      </c>
      <c r="J63" t="str">
        <f>_xlfn.XLOOKUP(B63,Customers!A:A,Customers!B:B)</f>
        <v>Ali Hussain</v>
      </c>
      <c r="K63" t="str">
        <f>_xlfn.XLOOKUP(B63,Customers!A:A,Customers!C:C)</f>
        <v>Karachi</v>
      </c>
      <c r="L63" t="str">
        <f>_xlfn.XLOOKUP(B63,Customers!A:A,Customers!D:D)</f>
        <v>Gold</v>
      </c>
      <c r="M63">
        <f t="shared" si="0"/>
        <v>30</v>
      </c>
      <c r="N63" t="str">
        <f>_xlfn.XLOOKUP(C63,Products!A:A,Products!E:E)</f>
        <v>Lahore</v>
      </c>
    </row>
    <row r="64" spans="1:14" x14ac:dyDescent="0.25">
      <c r="A64" t="s">
        <v>135</v>
      </c>
      <c r="B64" t="s">
        <v>46</v>
      </c>
      <c r="C64" t="s">
        <v>38</v>
      </c>
      <c r="D64">
        <v>2</v>
      </c>
      <c r="E64" s="1">
        <v>46144</v>
      </c>
      <c r="F64" t="s">
        <v>9</v>
      </c>
      <c r="G64" t="str">
        <f>VLOOKUP(C64,Products!A:E,2,0)</f>
        <v>Rice Cooker</v>
      </c>
      <c r="H64" t="str">
        <f>VLOOKUP(C64,Products!A:E,3,0)</f>
        <v>Home &amp; Kitchen</v>
      </c>
      <c r="I64">
        <f>VLOOKUP(C64,Products!A:E,4,0)</f>
        <v>95</v>
      </c>
      <c r="J64" t="str">
        <f>_xlfn.XLOOKUP(B64,Customers!A:A,Customers!B:B)</f>
        <v>Noor Fatima</v>
      </c>
      <c r="K64" t="str">
        <f>_xlfn.XLOOKUP(B64,Customers!A:A,Customers!C:C)</f>
        <v>Lahore</v>
      </c>
      <c r="L64" t="str">
        <f>_xlfn.XLOOKUP(B64,Customers!A:A,Customers!D:D)</f>
        <v>Gold</v>
      </c>
      <c r="M64">
        <f t="shared" si="0"/>
        <v>190</v>
      </c>
      <c r="N64" t="str">
        <f>_xlfn.XLOOKUP(C64,Products!A:A,Products!E:E)</f>
        <v>Rawalpindi</v>
      </c>
    </row>
    <row r="65" spans="1:14" x14ac:dyDescent="0.25">
      <c r="A65" t="s">
        <v>136</v>
      </c>
      <c r="B65" t="s">
        <v>49</v>
      </c>
      <c r="C65" t="s">
        <v>44</v>
      </c>
      <c r="D65">
        <v>1</v>
      </c>
      <c r="E65" s="1">
        <v>46144</v>
      </c>
      <c r="F65" t="s">
        <v>9</v>
      </c>
      <c r="G65" t="str">
        <f>VLOOKUP(C65,Products!A:E,2,0)</f>
        <v>Moisturizer</v>
      </c>
      <c r="H65" t="str">
        <f>VLOOKUP(C65,Products!A:E,3,0)</f>
        <v>Beauty</v>
      </c>
      <c r="I65">
        <f>VLOOKUP(C65,Products!A:E,4,0)</f>
        <v>25</v>
      </c>
      <c r="J65" t="str">
        <f>_xlfn.XLOOKUP(B65,Customers!A:A,Customers!B:B)</f>
        <v>Zainab Hussain</v>
      </c>
      <c r="K65" t="str">
        <f>_xlfn.XLOOKUP(B65,Customers!A:A,Customers!C:C)</f>
        <v>Lahore</v>
      </c>
      <c r="L65" t="str">
        <f>_xlfn.XLOOKUP(B65,Customers!A:A,Customers!D:D)</f>
        <v>Bronze</v>
      </c>
      <c r="M65">
        <f t="shared" si="0"/>
        <v>25</v>
      </c>
      <c r="N65" t="str">
        <f>_xlfn.XLOOKUP(C65,Products!A:A,Products!E:E)</f>
        <v>Lahore</v>
      </c>
    </row>
    <row r="66" spans="1:14" x14ac:dyDescent="0.25">
      <c r="A66" t="s">
        <v>137</v>
      </c>
      <c r="B66" t="s">
        <v>52</v>
      </c>
      <c r="C66" t="s">
        <v>28</v>
      </c>
      <c r="D66">
        <v>3</v>
      </c>
      <c r="E66" s="1">
        <v>46145</v>
      </c>
      <c r="F66" t="s">
        <v>9</v>
      </c>
      <c r="G66" t="str">
        <f>VLOOKUP(C66,Products!A:E,2,0)</f>
        <v>Wireless Earbuds</v>
      </c>
      <c r="H66" t="str">
        <f>VLOOKUP(C66,Products!A:E,3,0)</f>
        <v>Electronics</v>
      </c>
      <c r="I66">
        <f>VLOOKUP(C66,Products!A:E,4,0)</f>
        <v>45</v>
      </c>
      <c r="J66" t="str">
        <f>_xlfn.XLOOKUP(B66,Customers!A:A,Customers!B:B)</f>
        <v>Bilal Sheikh</v>
      </c>
      <c r="K66" t="str">
        <f>_xlfn.XLOOKUP(B66,Customers!A:A,Customers!C:C)</f>
        <v>Rawalpindi</v>
      </c>
      <c r="L66" t="str">
        <f>_xlfn.XLOOKUP(B66,Customers!A:A,Customers!D:D)</f>
        <v>Bronze</v>
      </c>
      <c r="M66">
        <f t="shared" si="0"/>
        <v>135</v>
      </c>
      <c r="N66" t="str">
        <f>_xlfn.XLOOKUP(C66,Products!A:A,Products!E:E)</f>
        <v>Lahore</v>
      </c>
    </row>
    <row r="67" spans="1:14" x14ac:dyDescent="0.25">
      <c r="A67" t="s">
        <v>138</v>
      </c>
      <c r="B67" t="s">
        <v>55</v>
      </c>
      <c r="C67" t="s">
        <v>47</v>
      </c>
      <c r="D67">
        <v>1</v>
      </c>
      <c r="E67" s="1">
        <v>46145</v>
      </c>
      <c r="F67" t="s">
        <v>9</v>
      </c>
      <c r="G67" t="str">
        <f>VLOOKUP(C67,Products!A:E,2,0)</f>
        <v>Blender</v>
      </c>
      <c r="H67" t="str">
        <f>VLOOKUP(C67,Products!A:E,3,0)</f>
        <v>Home &amp; Kitchen</v>
      </c>
      <c r="I67">
        <f>VLOOKUP(C67,Products!A:E,4,0)</f>
        <v>120</v>
      </c>
      <c r="J67" t="str">
        <f>_xlfn.XLOOKUP(B67,Customers!A:A,Customers!B:B)</f>
        <v>Omer Farooq</v>
      </c>
      <c r="K67" t="str">
        <f>_xlfn.XLOOKUP(B67,Customers!A:A,Customers!C:C)</f>
        <v>Islamabad</v>
      </c>
      <c r="L67" t="str">
        <f>_xlfn.XLOOKUP(B67,Customers!A:A,Customers!D:D)</f>
        <v>Silver</v>
      </c>
      <c r="M67">
        <f t="shared" ref="M67:M130" si="1">D67*I67</f>
        <v>120</v>
      </c>
      <c r="N67" t="str">
        <f>_xlfn.XLOOKUP(C67,Products!A:A,Products!E:E)</f>
        <v>Islamabad</v>
      </c>
    </row>
    <row r="68" spans="1:14" x14ac:dyDescent="0.25">
      <c r="A68" t="s">
        <v>139</v>
      </c>
      <c r="B68" t="s">
        <v>57</v>
      </c>
      <c r="C68" t="s">
        <v>8</v>
      </c>
      <c r="D68">
        <v>2</v>
      </c>
      <c r="E68" s="1">
        <v>46146</v>
      </c>
      <c r="F68" t="s">
        <v>9</v>
      </c>
      <c r="G68" t="str">
        <f>VLOOKUP(C68,Products!A:E,2,0)</f>
        <v>Laptop Stand</v>
      </c>
      <c r="H68" t="str">
        <f>VLOOKUP(C68,Products!A:E,3,0)</f>
        <v>Electronics</v>
      </c>
      <c r="I68">
        <f>VLOOKUP(C68,Products!A:E,4,0)</f>
        <v>40</v>
      </c>
      <c r="J68" t="str">
        <f>_xlfn.XLOOKUP(B68,Customers!A:A,Customers!B:B)</f>
        <v>Hamza Tariq</v>
      </c>
      <c r="K68" t="str">
        <f>_xlfn.XLOOKUP(B68,Customers!A:A,Customers!C:C)</f>
        <v>Karachi</v>
      </c>
      <c r="L68" t="str">
        <f>_xlfn.XLOOKUP(B68,Customers!A:A,Customers!D:D)</f>
        <v>Silver</v>
      </c>
      <c r="M68">
        <f t="shared" si="1"/>
        <v>80</v>
      </c>
      <c r="N68" t="str">
        <f>_xlfn.XLOOKUP(C68,Products!A:A,Products!E:E)</f>
        <v>Rawalpindi</v>
      </c>
    </row>
    <row r="69" spans="1:14" x14ac:dyDescent="0.25">
      <c r="A69" t="s">
        <v>140</v>
      </c>
      <c r="B69" t="s">
        <v>59</v>
      </c>
      <c r="C69" t="s">
        <v>53</v>
      </c>
      <c r="D69">
        <v>1</v>
      </c>
      <c r="E69" s="1">
        <v>46146</v>
      </c>
      <c r="F69" t="s">
        <v>19</v>
      </c>
      <c r="G69" t="str">
        <f>VLOOKUP(C69,Products!A:E,2,0)</f>
        <v>Night Cream</v>
      </c>
      <c r="H69" t="str">
        <f>VLOOKUP(C69,Products!A:E,3,0)</f>
        <v>Beauty</v>
      </c>
      <c r="I69">
        <f>VLOOKUP(C69,Products!A:E,4,0)</f>
        <v>40</v>
      </c>
      <c r="J69" t="str">
        <f>_xlfn.XLOOKUP(B69,Customers!A:A,Customers!B:B)</f>
        <v>Tariq Mehmood</v>
      </c>
      <c r="K69" t="str">
        <f>_xlfn.XLOOKUP(B69,Customers!A:A,Customers!C:C)</f>
        <v>Islamabad</v>
      </c>
      <c r="L69" t="str">
        <f>_xlfn.XLOOKUP(B69,Customers!A:A,Customers!D:D)</f>
        <v>Gold</v>
      </c>
      <c r="M69">
        <f t="shared" si="1"/>
        <v>40</v>
      </c>
      <c r="N69" t="str">
        <f>_xlfn.XLOOKUP(C69,Products!A:A,Products!E:E)</f>
        <v>Faisalabad</v>
      </c>
    </row>
    <row r="70" spans="1:14" x14ac:dyDescent="0.25">
      <c r="A70" t="s">
        <v>141</v>
      </c>
      <c r="B70" t="s">
        <v>61</v>
      </c>
      <c r="C70" t="s">
        <v>25</v>
      </c>
      <c r="D70">
        <v>4</v>
      </c>
      <c r="E70" s="1">
        <v>46147</v>
      </c>
      <c r="F70" t="s">
        <v>9</v>
      </c>
      <c r="G70" t="str">
        <f>VLOOKUP(C70,Products!A:E,2,0)</f>
        <v>Sunscreen</v>
      </c>
      <c r="H70" t="str">
        <f>VLOOKUP(C70,Products!A:E,3,0)</f>
        <v>Beauty</v>
      </c>
      <c r="I70">
        <f>VLOOKUP(C70,Products!A:E,4,0)</f>
        <v>15</v>
      </c>
      <c r="J70" t="str">
        <f>_xlfn.XLOOKUP(B70,Customers!A:A,Customers!B:B)</f>
        <v>Sara Ali</v>
      </c>
      <c r="K70" t="str">
        <f>_xlfn.XLOOKUP(B70,Customers!A:A,Customers!C:C)</f>
        <v>Lahore</v>
      </c>
      <c r="L70" t="str">
        <f>_xlfn.XLOOKUP(B70,Customers!A:A,Customers!D:D)</f>
        <v>Silver</v>
      </c>
      <c r="M70">
        <f t="shared" si="1"/>
        <v>60</v>
      </c>
      <c r="N70" t="str">
        <f>_xlfn.XLOOKUP(C70,Products!A:A,Products!E:E)</f>
        <v>Karachi</v>
      </c>
    </row>
    <row r="71" spans="1:14" x14ac:dyDescent="0.25">
      <c r="A71" t="s">
        <v>142</v>
      </c>
      <c r="B71" t="s">
        <v>63</v>
      </c>
      <c r="C71" t="s">
        <v>50</v>
      </c>
      <c r="D71">
        <v>1</v>
      </c>
      <c r="E71" s="1">
        <v>46147</v>
      </c>
      <c r="F71" t="s">
        <v>9</v>
      </c>
      <c r="G71" t="str">
        <f>VLOOKUP(C71,Products!A:E,2,0)</f>
        <v>Bluetooth Speaker</v>
      </c>
      <c r="H71" t="str">
        <f>VLOOKUP(C71,Products!A:E,3,0)</f>
        <v>Electronics</v>
      </c>
      <c r="I71">
        <f>VLOOKUP(C71,Products!A:E,4,0)</f>
        <v>95</v>
      </c>
      <c r="J71" t="str">
        <f>_xlfn.XLOOKUP(B71,Customers!A:A,Customers!B:B)</f>
        <v>Zara Malik</v>
      </c>
      <c r="K71" t="str">
        <f>_xlfn.XLOOKUP(B71,Customers!A:A,Customers!C:C)</f>
        <v>Islamabad</v>
      </c>
      <c r="L71" t="str">
        <f>_xlfn.XLOOKUP(B71,Customers!A:A,Customers!D:D)</f>
        <v>Bronze</v>
      </c>
      <c r="M71">
        <f t="shared" si="1"/>
        <v>95</v>
      </c>
      <c r="N71" t="str">
        <f>_xlfn.XLOOKUP(C71,Products!A:A,Products!E:E)</f>
        <v>Karachi</v>
      </c>
    </row>
    <row r="72" spans="1:14" x14ac:dyDescent="0.25">
      <c r="A72" t="s">
        <v>143</v>
      </c>
      <c r="B72" t="s">
        <v>65</v>
      </c>
      <c r="C72" t="s">
        <v>18</v>
      </c>
      <c r="D72">
        <v>2</v>
      </c>
      <c r="E72" s="1">
        <v>46148</v>
      </c>
      <c r="F72" t="s">
        <v>9</v>
      </c>
      <c r="G72" t="str">
        <f>VLOOKUP(C72,Products!A:E,2,0)</f>
        <v>Hair Serum</v>
      </c>
      <c r="H72" t="str">
        <f>VLOOKUP(C72,Products!A:E,3,0)</f>
        <v>Beauty</v>
      </c>
      <c r="I72">
        <f>VLOOKUP(C72,Products!A:E,4,0)</f>
        <v>35</v>
      </c>
      <c r="J72" t="str">
        <f>_xlfn.XLOOKUP(B72,Customers!A:A,Customers!B:B)</f>
        <v>Rabia Noor</v>
      </c>
      <c r="K72" t="str">
        <f>_xlfn.XLOOKUP(B72,Customers!A:A,Customers!C:C)</f>
        <v>Karachi</v>
      </c>
      <c r="L72" t="str">
        <f>_xlfn.XLOOKUP(B72,Customers!A:A,Customers!D:D)</f>
        <v>Gold</v>
      </c>
      <c r="M72">
        <f t="shared" si="1"/>
        <v>70</v>
      </c>
      <c r="N72" t="str">
        <f>_xlfn.XLOOKUP(C72,Products!A:A,Products!E:E)</f>
        <v>Islamabad</v>
      </c>
    </row>
    <row r="73" spans="1:14" x14ac:dyDescent="0.25">
      <c r="A73" t="s">
        <v>144</v>
      </c>
      <c r="B73" t="s">
        <v>67</v>
      </c>
      <c r="C73" t="s">
        <v>12</v>
      </c>
      <c r="D73">
        <v>1</v>
      </c>
      <c r="E73" s="1">
        <v>46148</v>
      </c>
      <c r="F73" t="s">
        <v>9</v>
      </c>
      <c r="G73" t="str">
        <f>VLOOKUP(C73,Products!A:E,2,0)</f>
        <v>Air Fryer</v>
      </c>
      <c r="H73" t="str">
        <f>VLOOKUP(C73,Products!A:E,3,0)</f>
        <v>Home &amp; Kitchen</v>
      </c>
      <c r="I73">
        <f>VLOOKUP(C73,Products!A:E,4,0)</f>
        <v>150</v>
      </c>
      <c r="J73" t="str">
        <f>_xlfn.XLOOKUP(B73,Customers!A:A,Customers!B:B)</f>
        <v>Kamran Iqbal</v>
      </c>
      <c r="K73" t="str">
        <f>_xlfn.XLOOKUP(B73,Customers!A:A,Customers!C:C)</f>
        <v>Faisalabad</v>
      </c>
      <c r="L73" t="str">
        <f>_xlfn.XLOOKUP(B73,Customers!A:A,Customers!D:D)</f>
        <v>Gold</v>
      </c>
      <c r="M73">
        <f t="shared" si="1"/>
        <v>150</v>
      </c>
      <c r="N73" t="str">
        <f>_xlfn.XLOOKUP(C73,Products!A:A,Products!E:E)</f>
        <v>Lahore</v>
      </c>
    </row>
    <row r="74" spans="1:14" x14ac:dyDescent="0.25">
      <c r="A74" t="s">
        <v>145</v>
      </c>
      <c r="B74" t="s">
        <v>69</v>
      </c>
      <c r="C74" t="s">
        <v>15</v>
      </c>
      <c r="D74">
        <v>3</v>
      </c>
      <c r="E74" s="1">
        <v>46149</v>
      </c>
      <c r="F74" t="s">
        <v>9</v>
      </c>
      <c r="G74" t="str">
        <f>VLOOKUP(C74,Products!A:E,2,0)</f>
        <v>Phone Case</v>
      </c>
      <c r="H74" t="str">
        <f>VLOOKUP(C74,Products!A:E,3,0)</f>
        <v>Electronics</v>
      </c>
      <c r="I74">
        <f>VLOOKUP(C74,Products!A:E,4,0)</f>
        <v>12</v>
      </c>
      <c r="J74" t="str">
        <f>_xlfn.XLOOKUP(B74,Customers!A:A,Customers!B:B)</f>
        <v>Nabeel Awan</v>
      </c>
      <c r="K74" t="str">
        <f>_xlfn.XLOOKUP(B74,Customers!A:A,Customers!C:C)</f>
        <v>Islamabad</v>
      </c>
      <c r="L74" t="str">
        <f>_xlfn.XLOOKUP(B74,Customers!A:A,Customers!D:D)</f>
        <v>Bronze</v>
      </c>
      <c r="M74">
        <f t="shared" si="1"/>
        <v>36</v>
      </c>
      <c r="N74" t="str">
        <f>_xlfn.XLOOKUP(C74,Products!A:A,Products!E:E)</f>
        <v>Islamabad</v>
      </c>
    </row>
    <row r="75" spans="1:14" x14ac:dyDescent="0.25">
      <c r="A75" t="s">
        <v>146</v>
      </c>
      <c r="B75" t="s">
        <v>71</v>
      </c>
      <c r="C75" t="s">
        <v>32</v>
      </c>
      <c r="D75">
        <v>2</v>
      </c>
      <c r="E75" s="1">
        <v>46149</v>
      </c>
      <c r="F75" t="s">
        <v>9</v>
      </c>
      <c r="G75" t="str">
        <f>VLOOKUP(C75,Products!A:E,2,0)</f>
        <v>Coffee Maker</v>
      </c>
      <c r="H75" t="str">
        <f>VLOOKUP(C75,Products!A:E,3,0)</f>
        <v>Home &amp; Kitchen</v>
      </c>
      <c r="I75">
        <f>VLOOKUP(C75,Products!A:E,4,0)</f>
        <v>110</v>
      </c>
      <c r="J75" t="str">
        <f>_xlfn.XLOOKUP(B75,Customers!A:A,Customers!B:B)</f>
        <v>Bilal Ahmed</v>
      </c>
      <c r="K75" t="str">
        <f>_xlfn.XLOOKUP(B75,Customers!A:A,Customers!C:C)</f>
        <v>Faisalabad</v>
      </c>
      <c r="L75" t="str">
        <f>_xlfn.XLOOKUP(B75,Customers!A:A,Customers!D:D)</f>
        <v>Bronze</v>
      </c>
      <c r="M75">
        <f t="shared" si="1"/>
        <v>220</v>
      </c>
      <c r="N75" t="str">
        <f>_xlfn.XLOOKUP(C75,Products!A:A,Products!E:E)</f>
        <v>Karachi</v>
      </c>
    </row>
    <row r="76" spans="1:14" x14ac:dyDescent="0.25">
      <c r="A76" t="s">
        <v>147</v>
      </c>
      <c r="B76" t="s">
        <v>73</v>
      </c>
      <c r="C76" t="s">
        <v>35</v>
      </c>
      <c r="D76">
        <v>1</v>
      </c>
      <c r="E76" s="1">
        <v>46150</v>
      </c>
      <c r="F76" t="s">
        <v>29</v>
      </c>
      <c r="G76" t="str">
        <f>VLOOKUP(C76,Products!A:E,2,0)</f>
        <v>Face Serum</v>
      </c>
      <c r="H76" t="str">
        <f>VLOOKUP(C76,Products!A:E,3,0)</f>
        <v>Beauty</v>
      </c>
      <c r="I76">
        <f>VLOOKUP(C76,Products!A:E,4,0)</f>
        <v>30</v>
      </c>
      <c r="J76" t="str">
        <f>_xlfn.XLOOKUP(B76,Customers!A:A,Customers!B:B)</f>
        <v>Imran Satti</v>
      </c>
      <c r="K76" t="str">
        <f>_xlfn.XLOOKUP(B76,Customers!A:A,Customers!C:C)</f>
        <v>Islamabad</v>
      </c>
      <c r="L76" t="str">
        <f>_xlfn.XLOOKUP(B76,Customers!A:A,Customers!D:D)</f>
        <v>Gold</v>
      </c>
      <c r="M76">
        <f t="shared" si="1"/>
        <v>30</v>
      </c>
      <c r="N76" t="str">
        <f>_xlfn.XLOOKUP(C76,Products!A:A,Products!E:E)</f>
        <v>Lahore</v>
      </c>
    </row>
    <row r="77" spans="1:14" x14ac:dyDescent="0.25">
      <c r="A77" t="s">
        <v>148</v>
      </c>
      <c r="B77" t="s">
        <v>75</v>
      </c>
      <c r="C77" t="s">
        <v>38</v>
      </c>
      <c r="D77">
        <v>2</v>
      </c>
      <c r="E77" s="1">
        <v>46150</v>
      </c>
      <c r="F77" t="s">
        <v>9</v>
      </c>
      <c r="G77" t="str">
        <f>VLOOKUP(C77,Products!A:E,2,0)</f>
        <v>Rice Cooker</v>
      </c>
      <c r="H77" t="str">
        <f>VLOOKUP(C77,Products!A:E,3,0)</f>
        <v>Home &amp; Kitchen</v>
      </c>
      <c r="I77">
        <f>VLOOKUP(C77,Products!A:E,4,0)</f>
        <v>95</v>
      </c>
      <c r="J77" t="str">
        <f>_xlfn.XLOOKUP(B77,Customers!A:A,Customers!B:B)</f>
        <v>Imran Khan</v>
      </c>
      <c r="K77" t="str">
        <f>_xlfn.XLOOKUP(B77,Customers!A:A,Customers!C:C)</f>
        <v>Rawalpindi</v>
      </c>
      <c r="L77" t="str">
        <f>_xlfn.XLOOKUP(B77,Customers!A:A,Customers!D:D)</f>
        <v>Bronze</v>
      </c>
      <c r="M77">
        <f t="shared" si="1"/>
        <v>190</v>
      </c>
      <c r="N77" t="str">
        <f>_xlfn.XLOOKUP(C77,Products!A:A,Products!E:E)</f>
        <v>Rawalpindi</v>
      </c>
    </row>
    <row r="78" spans="1:14" x14ac:dyDescent="0.25">
      <c r="A78" t="s">
        <v>149</v>
      </c>
      <c r="B78" t="s">
        <v>77</v>
      </c>
      <c r="C78" t="s">
        <v>44</v>
      </c>
      <c r="D78">
        <v>1</v>
      </c>
      <c r="E78" s="1">
        <v>46151</v>
      </c>
      <c r="F78" t="s">
        <v>9</v>
      </c>
      <c r="G78" t="str">
        <f>VLOOKUP(C78,Products!A:E,2,0)</f>
        <v>Moisturizer</v>
      </c>
      <c r="H78" t="str">
        <f>VLOOKUP(C78,Products!A:E,3,0)</f>
        <v>Beauty</v>
      </c>
      <c r="I78">
        <f>VLOOKUP(C78,Products!A:E,4,0)</f>
        <v>25</v>
      </c>
      <c r="J78" t="str">
        <f>_xlfn.XLOOKUP(B78,Customers!A:A,Customers!B:B)</f>
        <v>Hina Awan</v>
      </c>
      <c r="K78" t="str">
        <f>_xlfn.XLOOKUP(B78,Customers!A:A,Customers!C:C)</f>
        <v>Karachi</v>
      </c>
      <c r="L78" t="str">
        <f>_xlfn.XLOOKUP(B78,Customers!A:A,Customers!D:D)</f>
        <v>Silver</v>
      </c>
      <c r="M78">
        <f t="shared" si="1"/>
        <v>25</v>
      </c>
      <c r="N78" t="str">
        <f>_xlfn.XLOOKUP(C78,Products!A:A,Products!E:E)</f>
        <v>Lahore</v>
      </c>
    </row>
    <row r="79" spans="1:14" x14ac:dyDescent="0.25">
      <c r="A79" t="s">
        <v>150</v>
      </c>
      <c r="B79" t="s">
        <v>79</v>
      </c>
      <c r="C79" t="s">
        <v>28</v>
      </c>
      <c r="D79">
        <v>3</v>
      </c>
      <c r="E79" s="1">
        <v>46151</v>
      </c>
      <c r="F79" t="s">
        <v>9</v>
      </c>
      <c r="G79" t="str">
        <f>VLOOKUP(C79,Products!A:E,2,0)</f>
        <v>Wireless Earbuds</v>
      </c>
      <c r="H79" t="str">
        <f>VLOOKUP(C79,Products!A:E,3,0)</f>
        <v>Electronics</v>
      </c>
      <c r="I79">
        <f>VLOOKUP(C79,Products!A:E,4,0)</f>
        <v>45</v>
      </c>
      <c r="J79" t="str">
        <f>_xlfn.XLOOKUP(B79,Customers!A:A,Customers!B:B)</f>
        <v>Sadia Awan</v>
      </c>
      <c r="K79" t="str">
        <f>_xlfn.XLOOKUP(B79,Customers!A:A,Customers!C:C)</f>
        <v>Lahore</v>
      </c>
      <c r="L79" t="str">
        <f>_xlfn.XLOOKUP(B79,Customers!A:A,Customers!D:D)</f>
        <v>Bronze</v>
      </c>
      <c r="M79">
        <f t="shared" si="1"/>
        <v>135</v>
      </c>
      <c r="N79" t="str">
        <f>_xlfn.XLOOKUP(C79,Products!A:A,Products!E:E)</f>
        <v>Lahore</v>
      </c>
    </row>
    <row r="80" spans="1:14" x14ac:dyDescent="0.25">
      <c r="A80" t="s">
        <v>151</v>
      </c>
      <c r="B80" t="s">
        <v>81</v>
      </c>
      <c r="C80" t="s">
        <v>47</v>
      </c>
      <c r="D80">
        <v>2</v>
      </c>
      <c r="E80" s="1">
        <v>46152</v>
      </c>
      <c r="F80" t="s">
        <v>9</v>
      </c>
      <c r="G80" t="str">
        <f>VLOOKUP(C80,Products!A:E,2,0)</f>
        <v>Blender</v>
      </c>
      <c r="H80" t="str">
        <f>VLOOKUP(C80,Products!A:E,3,0)</f>
        <v>Home &amp; Kitchen</v>
      </c>
      <c r="I80">
        <f>VLOOKUP(C80,Products!A:E,4,0)</f>
        <v>120</v>
      </c>
      <c r="J80" t="str">
        <f>_xlfn.XLOOKUP(B80,Customers!A:A,Customers!B:B)</f>
        <v>Ahmed Khan</v>
      </c>
      <c r="K80" t="str">
        <f>_xlfn.XLOOKUP(B80,Customers!A:A,Customers!C:C)</f>
        <v>Karachi</v>
      </c>
      <c r="L80" t="str">
        <f>_xlfn.XLOOKUP(B80,Customers!A:A,Customers!D:D)</f>
        <v>Gold</v>
      </c>
      <c r="M80">
        <f t="shared" si="1"/>
        <v>240</v>
      </c>
      <c r="N80" t="str">
        <f>_xlfn.XLOOKUP(C80,Products!A:A,Products!E:E)</f>
        <v>Islamabad</v>
      </c>
    </row>
    <row r="81" spans="1:14" x14ac:dyDescent="0.25">
      <c r="A81" t="s">
        <v>152</v>
      </c>
      <c r="B81" t="s">
        <v>83</v>
      </c>
      <c r="C81" t="s">
        <v>8</v>
      </c>
      <c r="D81">
        <v>1</v>
      </c>
      <c r="E81" s="1">
        <v>46152</v>
      </c>
      <c r="F81" t="s">
        <v>19</v>
      </c>
      <c r="G81" t="str">
        <f>VLOOKUP(C81,Products!A:E,2,0)</f>
        <v>Laptop Stand</v>
      </c>
      <c r="H81" t="str">
        <f>VLOOKUP(C81,Products!A:E,3,0)</f>
        <v>Electronics</v>
      </c>
      <c r="I81">
        <f>VLOOKUP(C81,Products!A:E,4,0)</f>
        <v>40</v>
      </c>
      <c r="J81" t="str">
        <f>_xlfn.XLOOKUP(B81,Customers!A:A,Customers!B:B)</f>
        <v>Junaid Alam</v>
      </c>
      <c r="K81" t="str">
        <f>_xlfn.XLOOKUP(B81,Customers!A:A,Customers!C:C)</f>
        <v>Lahore</v>
      </c>
      <c r="L81" t="str">
        <f>_xlfn.XLOOKUP(B81,Customers!A:A,Customers!D:D)</f>
        <v>Bronze</v>
      </c>
      <c r="M81">
        <f t="shared" si="1"/>
        <v>40</v>
      </c>
      <c r="N81" t="str">
        <f>_xlfn.XLOOKUP(C81,Products!A:A,Products!E:E)</f>
        <v>Rawalpindi</v>
      </c>
    </row>
    <row r="82" spans="1:14" x14ac:dyDescent="0.25">
      <c r="A82" t="s">
        <v>153</v>
      </c>
      <c r="B82" t="s">
        <v>85</v>
      </c>
      <c r="C82" t="s">
        <v>53</v>
      </c>
      <c r="D82">
        <v>2</v>
      </c>
      <c r="E82" s="1">
        <v>46153</v>
      </c>
      <c r="F82" t="s">
        <v>9</v>
      </c>
      <c r="G82" t="str">
        <f>VLOOKUP(C82,Products!A:E,2,0)</f>
        <v>Night Cream</v>
      </c>
      <c r="H82" t="str">
        <f>VLOOKUP(C82,Products!A:E,3,0)</f>
        <v>Beauty</v>
      </c>
      <c r="I82">
        <f>VLOOKUP(C82,Products!A:E,4,0)</f>
        <v>40</v>
      </c>
      <c r="J82" t="str">
        <f>_xlfn.XLOOKUP(B82,Customers!A:A,Customers!B:B)</f>
        <v>Sobia Tariq</v>
      </c>
      <c r="K82" t="str">
        <f>_xlfn.XLOOKUP(B82,Customers!A:A,Customers!C:C)</f>
        <v>Lahore</v>
      </c>
      <c r="L82" t="str">
        <f>_xlfn.XLOOKUP(B82,Customers!A:A,Customers!D:D)</f>
        <v>Silver</v>
      </c>
      <c r="M82">
        <f t="shared" si="1"/>
        <v>80</v>
      </c>
      <c r="N82" t="str">
        <f>_xlfn.XLOOKUP(C82,Products!A:A,Products!E:E)</f>
        <v>Faisalabad</v>
      </c>
    </row>
    <row r="83" spans="1:14" x14ac:dyDescent="0.25">
      <c r="A83" t="s">
        <v>154</v>
      </c>
      <c r="B83" t="s">
        <v>87</v>
      </c>
      <c r="C83" t="s">
        <v>25</v>
      </c>
      <c r="D83">
        <v>1</v>
      </c>
      <c r="E83" s="1">
        <v>46153</v>
      </c>
      <c r="F83" t="s">
        <v>9</v>
      </c>
      <c r="G83" t="str">
        <f>VLOOKUP(C83,Products!A:E,2,0)</f>
        <v>Sunscreen</v>
      </c>
      <c r="H83" t="str">
        <f>VLOOKUP(C83,Products!A:E,3,0)</f>
        <v>Beauty</v>
      </c>
      <c r="I83">
        <f>VLOOKUP(C83,Products!A:E,4,0)</f>
        <v>15</v>
      </c>
      <c r="J83" t="str">
        <f>_xlfn.XLOOKUP(B83,Customers!A:A,Customers!B:B)</f>
        <v>Saad Butt</v>
      </c>
      <c r="K83" t="str">
        <f>_xlfn.XLOOKUP(B83,Customers!A:A,Customers!C:C)</f>
        <v>Islamabad</v>
      </c>
      <c r="L83" t="str">
        <f>_xlfn.XLOOKUP(B83,Customers!A:A,Customers!D:D)</f>
        <v>Gold</v>
      </c>
      <c r="M83">
        <f t="shared" si="1"/>
        <v>15</v>
      </c>
      <c r="N83" t="str">
        <f>_xlfn.XLOOKUP(C83,Products!A:A,Products!E:E)</f>
        <v>Karachi</v>
      </c>
    </row>
    <row r="84" spans="1:14" x14ac:dyDescent="0.25">
      <c r="A84" t="s">
        <v>155</v>
      </c>
      <c r="B84" t="s">
        <v>89</v>
      </c>
      <c r="C84" t="s">
        <v>50</v>
      </c>
      <c r="D84">
        <v>3</v>
      </c>
      <c r="E84" s="1">
        <v>46154</v>
      </c>
      <c r="F84" t="s">
        <v>9</v>
      </c>
      <c r="G84" t="str">
        <f>VLOOKUP(C84,Products!A:E,2,0)</f>
        <v>Bluetooth Speaker</v>
      </c>
      <c r="H84" t="str">
        <f>VLOOKUP(C84,Products!A:E,3,0)</f>
        <v>Electronics</v>
      </c>
      <c r="I84">
        <f>VLOOKUP(C84,Products!A:E,4,0)</f>
        <v>95</v>
      </c>
      <c r="J84" t="str">
        <f>_xlfn.XLOOKUP(B84,Customers!A:A,Customers!B:B)</f>
        <v>Mehwish Tariq</v>
      </c>
      <c r="K84" t="str">
        <f>_xlfn.XLOOKUP(B84,Customers!A:A,Customers!C:C)</f>
        <v>Faisalabad</v>
      </c>
      <c r="L84" t="str">
        <f>_xlfn.XLOOKUP(B84,Customers!A:A,Customers!D:D)</f>
        <v>Silver</v>
      </c>
      <c r="M84">
        <f t="shared" si="1"/>
        <v>285</v>
      </c>
      <c r="N84" t="str">
        <f>_xlfn.XLOOKUP(C84,Products!A:A,Products!E:E)</f>
        <v>Karachi</v>
      </c>
    </row>
    <row r="85" spans="1:14" x14ac:dyDescent="0.25">
      <c r="A85" t="s">
        <v>156</v>
      </c>
      <c r="B85" t="s">
        <v>91</v>
      </c>
      <c r="C85" t="s">
        <v>18</v>
      </c>
      <c r="D85">
        <v>1</v>
      </c>
      <c r="E85" s="1">
        <v>46154</v>
      </c>
      <c r="F85" t="s">
        <v>9</v>
      </c>
      <c r="G85" t="str">
        <f>VLOOKUP(C85,Products!A:E,2,0)</f>
        <v>Hair Serum</v>
      </c>
      <c r="H85" t="str">
        <f>VLOOKUP(C85,Products!A:E,3,0)</f>
        <v>Beauty</v>
      </c>
      <c r="I85">
        <f>VLOOKUP(C85,Products!A:E,4,0)</f>
        <v>35</v>
      </c>
      <c r="J85" t="str">
        <f>_xlfn.XLOOKUP(B85,Customers!A:A,Customers!B:B)</f>
        <v>Fatima Malik</v>
      </c>
      <c r="K85" t="str">
        <f>_xlfn.XLOOKUP(B85,Customers!A:A,Customers!C:C)</f>
        <v>Karachi</v>
      </c>
      <c r="L85" t="str">
        <f>_xlfn.XLOOKUP(B85,Customers!A:A,Customers!D:D)</f>
        <v>Gold</v>
      </c>
      <c r="M85">
        <f t="shared" si="1"/>
        <v>35</v>
      </c>
      <c r="N85" t="str">
        <f>_xlfn.XLOOKUP(C85,Products!A:A,Products!E:E)</f>
        <v>Islamabad</v>
      </c>
    </row>
    <row r="86" spans="1:14" x14ac:dyDescent="0.25">
      <c r="A86" t="s">
        <v>157</v>
      </c>
      <c r="B86" t="s">
        <v>93</v>
      </c>
      <c r="C86" t="s">
        <v>12</v>
      </c>
      <c r="D86">
        <v>2</v>
      </c>
      <c r="E86" s="1">
        <v>46155</v>
      </c>
      <c r="F86" t="s">
        <v>9</v>
      </c>
      <c r="G86" t="str">
        <f>VLOOKUP(C86,Products!A:E,2,0)</f>
        <v>Air Fryer</v>
      </c>
      <c r="H86" t="str">
        <f>VLOOKUP(C86,Products!A:E,3,0)</f>
        <v>Home &amp; Kitchen</v>
      </c>
      <c r="I86">
        <f>VLOOKUP(C86,Products!A:E,4,0)</f>
        <v>150</v>
      </c>
      <c r="J86" t="str">
        <f>_xlfn.XLOOKUP(B86,Customers!A:A,Customers!B:B)</f>
        <v>Asad Mahmood</v>
      </c>
      <c r="K86" t="str">
        <f>_xlfn.XLOOKUP(B86,Customers!A:A,Customers!C:C)</f>
        <v>Karachi</v>
      </c>
      <c r="L86" t="str">
        <f>_xlfn.XLOOKUP(B86,Customers!A:A,Customers!D:D)</f>
        <v>Silver</v>
      </c>
      <c r="M86">
        <f t="shared" si="1"/>
        <v>300</v>
      </c>
      <c r="N86" t="str">
        <f>_xlfn.XLOOKUP(C86,Products!A:A,Products!E:E)</f>
        <v>Lahore</v>
      </c>
    </row>
    <row r="87" spans="1:14" x14ac:dyDescent="0.25">
      <c r="A87" t="s">
        <v>158</v>
      </c>
      <c r="B87" t="s">
        <v>95</v>
      </c>
      <c r="C87" t="s">
        <v>15</v>
      </c>
      <c r="D87">
        <v>1</v>
      </c>
      <c r="E87" s="1">
        <v>46155</v>
      </c>
      <c r="F87" t="s">
        <v>9</v>
      </c>
      <c r="G87" t="str">
        <f>VLOOKUP(C87,Products!A:E,2,0)</f>
        <v>Phone Case</v>
      </c>
      <c r="H87" t="str">
        <f>VLOOKUP(C87,Products!A:E,3,0)</f>
        <v>Electronics</v>
      </c>
      <c r="I87">
        <f>VLOOKUP(C87,Products!A:E,4,0)</f>
        <v>12</v>
      </c>
      <c r="J87" t="str">
        <f>_xlfn.XLOOKUP(B87,Customers!A:A,Customers!B:B)</f>
        <v>Taha Qureshi</v>
      </c>
      <c r="K87" t="str">
        <f>_xlfn.XLOOKUP(B87,Customers!A:A,Customers!C:C)</f>
        <v>Lahore</v>
      </c>
      <c r="L87" t="str">
        <f>_xlfn.XLOOKUP(B87,Customers!A:A,Customers!D:D)</f>
        <v>Gold</v>
      </c>
      <c r="M87">
        <f t="shared" si="1"/>
        <v>12</v>
      </c>
      <c r="N87" t="str">
        <f>_xlfn.XLOOKUP(C87,Products!A:A,Products!E:E)</f>
        <v>Islamabad</v>
      </c>
    </row>
    <row r="88" spans="1:14" x14ac:dyDescent="0.25">
      <c r="A88" t="s">
        <v>159</v>
      </c>
      <c r="B88" t="s">
        <v>97</v>
      </c>
      <c r="C88" t="s">
        <v>32</v>
      </c>
      <c r="D88">
        <v>2</v>
      </c>
      <c r="E88" s="1">
        <v>46156</v>
      </c>
      <c r="F88" t="s">
        <v>9</v>
      </c>
      <c r="G88" t="str">
        <f>VLOOKUP(C88,Products!A:E,2,0)</f>
        <v>Coffee Maker</v>
      </c>
      <c r="H88" t="str">
        <f>VLOOKUP(C88,Products!A:E,3,0)</f>
        <v>Home &amp; Kitchen</v>
      </c>
      <c r="I88">
        <f>VLOOKUP(C88,Products!A:E,4,0)</f>
        <v>110</v>
      </c>
      <c r="J88" t="str">
        <f>_xlfn.XLOOKUP(B88,Customers!A:A,Customers!B:B)</f>
        <v>Nadia Qureshi</v>
      </c>
      <c r="K88" t="str">
        <f>_xlfn.XLOOKUP(B88,Customers!A:A,Customers!C:C)</f>
        <v>Lahore</v>
      </c>
      <c r="L88" t="str">
        <f>_xlfn.XLOOKUP(B88,Customers!A:A,Customers!D:D)</f>
        <v>Gold</v>
      </c>
      <c r="M88">
        <f t="shared" si="1"/>
        <v>220</v>
      </c>
      <c r="N88" t="str">
        <f>_xlfn.XLOOKUP(C88,Products!A:A,Products!E:E)</f>
        <v>Karachi</v>
      </c>
    </row>
    <row r="89" spans="1:14" x14ac:dyDescent="0.25">
      <c r="A89" t="s">
        <v>160</v>
      </c>
      <c r="B89" t="s">
        <v>99</v>
      </c>
      <c r="C89" t="s">
        <v>35</v>
      </c>
      <c r="D89">
        <v>3</v>
      </c>
      <c r="E89" s="1">
        <v>46156</v>
      </c>
      <c r="F89" t="s">
        <v>9</v>
      </c>
      <c r="G89" t="str">
        <f>VLOOKUP(C89,Products!A:E,2,0)</f>
        <v>Face Serum</v>
      </c>
      <c r="H89" t="str">
        <f>VLOOKUP(C89,Products!A:E,3,0)</f>
        <v>Beauty</v>
      </c>
      <c r="I89">
        <f>VLOOKUP(C89,Products!A:E,4,0)</f>
        <v>30</v>
      </c>
      <c r="J89" t="str">
        <f>_xlfn.XLOOKUP(B89,Customers!A:A,Customers!B:B)</f>
        <v>Maham Rizvi</v>
      </c>
      <c r="K89" t="str">
        <f>_xlfn.XLOOKUP(B89,Customers!A:A,Customers!C:C)</f>
        <v>Lahore</v>
      </c>
      <c r="L89" t="str">
        <f>_xlfn.XLOOKUP(B89,Customers!A:A,Customers!D:D)</f>
        <v>Silver</v>
      </c>
      <c r="M89">
        <f t="shared" si="1"/>
        <v>90</v>
      </c>
      <c r="N89" t="str">
        <f>_xlfn.XLOOKUP(C89,Products!A:A,Products!E:E)</f>
        <v>Lahore</v>
      </c>
    </row>
    <row r="90" spans="1:14" x14ac:dyDescent="0.25">
      <c r="A90" t="s">
        <v>161</v>
      </c>
      <c r="B90" t="s">
        <v>101</v>
      </c>
      <c r="C90" t="s">
        <v>38</v>
      </c>
      <c r="D90">
        <v>1</v>
      </c>
      <c r="E90" s="1">
        <v>46157</v>
      </c>
      <c r="F90" t="s">
        <v>19</v>
      </c>
      <c r="G90" t="str">
        <f>VLOOKUP(C90,Products!A:E,2,0)</f>
        <v>Rice Cooker</v>
      </c>
      <c r="H90" t="str">
        <f>VLOOKUP(C90,Products!A:E,3,0)</f>
        <v>Home &amp; Kitchen</v>
      </c>
      <c r="I90">
        <f>VLOOKUP(C90,Products!A:E,4,0)</f>
        <v>95</v>
      </c>
      <c r="J90" t="str">
        <f>_xlfn.XLOOKUP(B90,Customers!A:A,Customers!B:B)</f>
        <v>Zubair Hassan</v>
      </c>
      <c r="K90" t="str">
        <f>_xlfn.XLOOKUP(B90,Customers!A:A,Customers!C:C)</f>
        <v>Rawalpindi</v>
      </c>
      <c r="L90" t="str">
        <f>_xlfn.XLOOKUP(B90,Customers!A:A,Customers!D:D)</f>
        <v>Gold</v>
      </c>
      <c r="M90">
        <f t="shared" si="1"/>
        <v>95</v>
      </c>
      <c r="N90" t="str">
        <f>_xlfn.XLOOKUP(C90,Products!A:A,Products!E:E)</f>
        <v>Rawalpindi</v>
      </c>
    </row>
    <row r="91" spans="1:14" x14ac:dyDescent="0.25">
      <c r="A91" t="s">
        <v>162</v>
      </c>
      <c r="B91" t="s">
        <v>103</v>
      </c>
      <c r="C91" t="s">
        <v>44</v>
      </c>
      <c r="D91">
        <v>2</v>
      </c>
      <c r="E91" s="1">
        <v>46157</v>
      </c>
      <c r="F91" t="s">
        <v>9</v>
      </c>
      <c r="G91" t="str">
        <f>VLOOKUP(C91,Products!A:E,2,0)</f>
        <v>Moisturizer</v>
      </c>
      <c r="H91" t="str">
        <f>VLOOKUP(C91,Products!A:E,3,0)</f>
        <v>Beauty</v>
      </c>
      <c r="I91">
        <f>VLOOKUP(C91,Products!A:E,4,0)</f>
        <v>25</v>
      </c>
      <c r="J91" t="str">
        <f>_xlfn.XLOOKUP(B91,Customers!A:A,Customers!B:B)</f>
        <v>Sundas Ali</v>
      </c>
      <c r="K91" t="str">
        <f>_xlfn.XLOOKUP(B91,Customers!A:A,Customers!C:C)</f>
        <v>Lahore</v>
      </c>
      <c r="L91" t="str">
        <f>_xlfn.XLOOKUP(B91,Customers!A:A,Customers!D:D)</f>
        <v>Gold</v>
      </c>
      <c r="M91">
        <f t="shared" si="1"/>
        <v>50</v>
      </c>
      <c r="N91" t="str">
        <f>_xlfn.XLOOKUP(C91,Products!A:A,Products!E:E)</f>
        <v>Lahore</v>
      </c>
    </row>
    <row r="92" spans="1:14" x14ac:dyDescent="0.25">
      <c r="A92" t="s">
        <v>163</v>
      </c>
      <c r="B92" t="s">
        <v>14</v>
      </c>
      <c r="C92" t="s">
        <v>28</v>
      </c>
      <c r="D92">
        <v>1</v>
      </c>
      <c r="E92" s="1">
        <v>46158</v>
      </c>
      <c r="F92" t="s">
        <v>9</v>
      </c>
      <c r="G92" t="str">
        <f>VLOOKUP(C92,Products!A:E,2,0)</f>
        <v>Wireless Earbuds</v>
      </c>
      <c r="H92" t="str">
        <f>VLOOKUP(C92,Products!A:E,3,0)</f>
        <v>Electronics</v>
      </c>
      <c r="I92">
        <f>VLOOKUP(C92,Products!A:E,4,0)</f>
        <v>45</v>
      </c>
      <c r="J92" t="str">
        <f>_xlfn.XLOOKUP(B92,Customers!A:A,Customers!B:B)</f>
        <v>Omar Tariq</v>
      </c>
      <c r="K92" t="str">
        <f>_xlfn.XLOOKUP(B92,Customers!A:A,Customers!C:C)</f>
        <v>Karachi</v>
      </c>
      <c r="L92" t="str">
        <f>_xlfn.XLOOKUP(B92,Customers!A:A,Customers!D:D)</f>
        <v>Gold</v>
      </c>
      <c r="M92">
        <f t="shared" si="1"/>
        <v>45</v>
      </c>
      <c r="N92" t="str">
        <f>_xlfn.XLOOKUP(C92,Products!A:A,Products!E:E)</f>
        <v>Lahore</v>
      </c>
    </row>
    <row r="93" spans="1:14" x14ac:dyDescent="0.25">
      <c r="A93" t="s">
        <v>164</v>
      </c>
      <c r="B93" t="s">
        <v>106</v>
      </c>
      <c r="C93" t="s">
        <v>47</v>
      </c>
      <c r="D93">
        <v>3</v>
      </c>
      <c r="E93" s="1">
        <v>46158</v>
      </c>
      <c r="F93" t="s">
        <v>9</v>
      </c>
      <c r="G93" t="str">
        <f>VLOOKUP(C93,Products!A:E,2,0)</f>
        <v>Blender</v>
      </c>
      <c r="H93" t="str">
        <f>VLOOKUP(C93,Products!A:E,3,0)</f>
        <v>Home &amp; Kitchen</v>
      </c>
      <c r="I93">
        <f>VLOOKUP(C93,Products!A:E,4,0)</f>
        <v>120</v>
      </c>
      <c r="J93" t="str">
        <f>_xlfn.XLOOKUP(B93,Customers!A:A,Customers!B:B)</f>
        <v>Ahmed Raza</v>
      </c>
      <c r="K93" t="str">
        <f>_xlfn.XLOOKUP(B93,Customers!A:A,Customers!C:C)</f>
        <v>Karachi</v>
      </c>
      <c r="L93" t="str">
        <f>_xlfn.XLOOKUP(B93,Customers!A:A,Customers!D:D)</f>
        <v>Bronze</v>
      </c>
      <c r="M93">
        <f t="shared" si="1"/>
        <v>360</v>
      </c>
      <c r="N93" t="str">
        <f>_xlfn.XLOOKUP(C93,Products!A:A,Products!E:E)</f>
        <v>Islamabad</v>
      </c>
    </row>
    <row r="94" spans="1:14" x14ac:dyDescent="0.25">
      <c r="A94" t="s">
        <v>165</v>
      </c>
      <c r="B94" t="s">
        <v>108</v>
      </c>
      <c r="C94" t="s">
        <v>8</v>
      </c>
      <c r="D94">
        <v>2</v>
      </c>
      <c r="E94" s="1">
        <v>46159</v>
      </c>
      <c r="F94" t="s">
        <v>9</v>
      </c>
      <c r="G94" t="str">
        <f>VLOOKUP(C94,Products!A:E,2,0)</f>
        <v>Laptop Stand</v>
      </c>
      <c r="H94" t="str">
        <f>VLOOKUP(C94,Products!A:E,3,0)</f>
        <v>Electronics</v>
      </c>
      <c r="I94">
        <f>VLOOKUP(C94,Products!A:E,4,0)</f>
        <v>40</v>
      </c>
      <c r="J94" t="str">
        <f>_xlfn.XLOOKUP(B94,Customers!A:A,Customers!B:B)</f>
        <v>Rida Fatima</v>
      </c>
      <c r="K94" t="str">
        <f>_xlfn.XLOOKUP(B94,Customers!A:A,Customers!C:C)</f>
        <v>Rawalpindi</v>
      </c>
      <c r="L94" t="str">
        <f>_xlfn.XLOOKUP(B94,Customers!A:A,Customers!D:D)</f>
        <v>Silver</v>
      </c>
      <c r="M94">
        <f t="shared" si="1"/>
        <v>80</v>
      </c>
      <c r="N94" t="str">
        <f>_xlfn.XLOOKUP(C94,Products!A:A,Products!E:E)</f>
        <v>Rawalpindi</v>
      </c>
    </row>
    <row r="95" spans="1:14" x14ac:dyDescent="0.25">
      <c r="A95" t="s">
        <v>166</v>
      </c>
      <c r="B95" t="s">
        <v>110</v>
      </c>
      <c r="C95" t="s">
        <v>53</v>
      </c>
      <c r="D95">
        <v>1</v>
      </c>
      <c r="E95" s="1">
        <v>46159</v>
      </c>
      <c r="F95" t="s">
        <v>9</v>
      </c>
      <c r="G95" t="str">
        <f>VLOOKUP(C95,Products!A:E,2,0)</f>
        <v>Night Cream</v>
      </c>
      <c r="H95" t="str">
        <f>VLOOKUP(C95,Products!A:E,3,0)</f>
        <v>Beauty</v>
      </c>
      <c r="I95">
        <f>VLOOKUP(C95,Products!A:E,4,0)</f>
        <v>40</v>
      </c>
      <c r="J95" t="str">
        <f>_xlfn.XLOOKUP(B95,Customers!A:A,Customers!B:B)</f>
        <v>Usman Sheikh</v>
      </c>
      <c r="K95" t="str">
        <f>_xlfn.XLOOKUP(B95,Customers!A:A,Customers!C:C)</f>
        <v>Rawalpindi</v>
      </c>
      <c r="L95" t="str">
        <f>_xlfn.XLOOKUP(B95,Customers!A:A,Customers!D:D)</f>
        <v>Silver</v>
      </c>
      <c r="M95">
        <f t="shared" si="1"/>
        <v>40</v>
      </c>
      <c r="N95" t="str">
        <f>_xlfn.XLOOKUP(C95,Products!A:A,Products!E:E)</f>
        <v>Faisalabad</v>
      </c>
    </row>
    <row r="96" spans="1:14" x14ac:dyDescent="0.25">
      <c r="A96" t="s">
        <v>167</v>
      </c>
      <c r="B96" t="s">
        <v>112</v>
      </c>
      <c r="C96" t="s">
        <v>25</v>
      </c>
      <c r="D96">
        <v>4</v>
      </c>
      <c r="E96" s="1">
        <v>46160</v>
      </c>
      <c r="F96" t="s">
        <v>9</v>
      </c>
      <c r="G96" t="str">
        <f>VLOOKUP(C96,Products!A:E,2,0)</f>
        <v>Sunscreen</v>
      </c>
      <c r="H96" t="str">
        <f>VLOOKUP(C96,Products!A:E,3,0)</f>
        <v>Beauty</v>
      </c>
      <c r="I96">
        <f>VLOOKUP(C96,Products!A:E,4,0)</f>
        <v>15</v>
      </c>
      <c r="J96" t="str">
        <f>_xlfn.XLOOKUP(B96,Customers!A:A,Customers!B:B)</f>
        <v>Hira Baig</v>
      </c>
      <c r="K96" t="str">
        <f>_xlfn.XLOOKUP(B96,Customers!A:A,Customers!C:C)</f>
        <v>Rawalpindi</v>
      </c>
      <c r="L96" t="str">
        <f>_xlfn.XLOOKUP(B96,Customers!A:A,Customers!D:D)</f>
        <v>Bronze</v>
      </c>
      <c r="M96">
        <f t="shared" si="1"/>
        <v>60</v>
      </c>
      <c r="N96" t="str">
        <f>_xlfn.XLOOKUP(C96,Products!A:A,Products!E:E)</f>
        <v>Karachi</v>
      </c>
    </row>
    <row r="97" spans="1:14" x14ac:dyDescent="0.25">
      <c r="A97" t="s">
        <v>168</v>
      </c>
      <c r="B97" t="s">
        <v>114</v>
      </c>
      <c r="C97" t="s">
        <v>50</v>
      </c>
      <c r="D97">
        <v>1</v>
      </c>
      <c r="E97" s="1">
        <v>46160</v>
      </c>
      <c r="F97" t="s">
        <v>9</v>
      </c>
      <c r="G97" t="str">
        <f>VLOOKUP(C97,Products!A:E,2,0)</f>
        <v>Bluetooth Speaker</v>
      </c>
      <c r="H97" t="str">
        <f>VLOOKUP(C97,Products!A:E,3,0)</f>
        <v>Electronics</v>
      </c>
      <c r="I97">
        <f>VLOOKUP(C97,Products!A:E,4,0)</f>
        <v>95</v>
      </c>
      <c r="J97" t="str">
        <f>_xlfn.XLOOKUP(B97,Customers!A:A,Customers!B:B)</f>
        <v>Hassan Butt</v>
      </c>
      <c r="K97" t="str">
        <f>_xlfn.XLOOKUP(B97,Customers!A:A,Customers!C:C)</f>
        <v>Lahore</v>
      </c>
      <c r="L97" t="str">
        <f>_xlfn.XLOOKUP(B97,Customers!A:A,Customers!D:D)</f>
        <v>Gold</v>
      </c>
      <c r="M97">
        <f t="shared" si="1"/>
        <v>95</v>
      </c>
      <c r="N97" t="str">
        <f>_xlfn.XLOOKUP(C97,Products!A:A,Products!E:E)</f>
        <v>Karachi</v>
      </c>
    </row>
    <row r="98" spans="1:14" x14ac:dyDescent="0.25">
      <c r="A98" t="s">
        <v>169</v>
      </c>
      <c r="B98" t="s">
        <v>116</v>
      </c>
      <c r="C98" t="s">
        <v>18</v>
      </c>
      <c r="D98">
        <v>2</v>
      </c>
      <c r="E98" s="1">
        <v>46161</v>
      </c>
      <c r="F98" t="s">
        <v>9</v>
      </c>
      <c r="G98" t="str">
        <f>VLOOKUP(C98,Products!A:E,2,0)</f>
        <v>Hair Serum</v>
      </c>
      <c r="H98" t="str">
        <f>VLOOKUP(C98,Products!A:E,3,0)</f>
        <v>Beauty</v>
      </c>
      <c r="I98">
        <f>VLOOKUP(C98,Products!A:E,4,0)</f>
        <v>35</v>
      </c>
      <c r="J98" t="str">
        <f>_xlfn.XLOOKUP(B98,Customers!A:A,Customers!B:B)</f>
        <v>Danish Khan</v>
      </c>
      <c r="K98" t="str">
        <f>_xlfn.XLOOKUP(B98,Customers!A:A,Customers!C:C)</f>
        <v>Faisalabad</v>
      </c>
      <c r="L98" t="str">
        <f>_xlfn.XLOOKUP(B98,Customers!A:A,Customers!D:D)</f>
        <v>Silver</v>
      </c>
      <c r="M98">
        <f t="shared" si="1"/>
        <v>70</v>
      </c>
      <c r="N98" t="str">
        <f>_xlfn.XLOOKUP(C98,Products!A:A,Products!E:E)</f>
        <v>Islamabad</v>
      </c>
    </row>
    <row r="99" spans="1:14" x14ac:dyDescent="0.25">
      <c r="A99" t="s">
        <v>170</v>
      </c>
      <c r="B99" t="s">
        <v>118</v>
      </c>
      <c r="C99" t="s">
        <v>12</v>
      </c>
      <c r="D99">
        <v>1</v>
      </c>
      <c r="E99" s="1">
        <v>46161</v>
      </c>
      <c r="F99" t="s">
        <v>9</v>
      </c>
      <c r="G99" t="str">
        <f>VLOOKUP(C99,Products!A:E,2,0)</f>
        <v>Air Fryer</v>
      </c>
      <c r="H99" t="str">
        <f>VLOOKUP(C99,Products!A:E,3,0)</f>
        <v>Home &amp; Kitchen</v>
      </c>
      <c r="I99">
        <f>VLOOKUP(C99,Products!A:E,4,0)</f>
        <v>150</v>
      </c>
      <c r="J99" t="str">
        <f>_xlfn.XLOOKUP(B99,Customers!A:A,Customers!B:B)</f>
        <v>Yusuf Khan</v>
      </c>
      <c r="K99" t="str">
        <f>_xlfn.XLOOKUP(B99,Customers!A:A,Customers!C:C)</f>
        <v>Islamabad</v>
      </c>
      <c r="L99" t="str">
        <f>_xlfn.XLOOKUP(B99,Customers!A:A,Customers!D:D)</f>
        <v>Silver</v>
      </c>
      <c r="M99">
        <f t="shared" si="1"/>
        <v>150</v>
      </c>
      <c r="N99" t="str">
        <f>_xlfn.XLOOKUP(C99,Products!A:A,Products!E:E)</f>
        <v>Lahore</v>
      </c>
    </row>
    <row r="100" spans="1:14" x14ac:dyDescent="0.25">
      <c r="A100" t="s">
        <v>171</v>
      </c>
      <c r="B100" t="s">
        <v>120</v>
      </c>
      <c r="C100" t="s">
        <v>15</v>
      </c>
      <c r="D100">
        <v>3</v>
      </c>
      <c r="E100" s="1">
        <v>46162</v>
      </c>
      <c r="F100" t="s">
        <v>9</v>
      </c>
      <c r="G100" t="str">
        <f>VLOOKUP(C100,Products!A:E,2,0)</f>
        <v>Phone Case</v>
      </c>
      <c r="H100" t="str">
        <f>VLOOKUP(C100,Products!A:E,3,0)</f>
        <v>Electronics</v>
      </c>
      <c r="I100">
        <f>VLOOKUP(C100,Products!A:E,4,0)</f>
        <v>12</v>
      </c>
      <c r="J100" t="str">
        <f>_xlfn.XLOOKUP(B100,Customers!A:A,Customers!B:B)</f>
        <v>Lubna Shah</v>
      </c>
      <c r="K100" t="str">
        <f>_xlfn.XLOOKUP(B100,Customers!A:A,Customers!C:C)</f>
        <v>Karachi</v>
      </c>
      <c r="L100" t="str">
        <f>_xlfn.XLOOKUP(B100,Customers!A:A,Customers!D:D)</f>
        <v>Silver</v>
      </c>
      <c r="M100">
        <f t="shared" si="1"/>
        <v>36</v>
      </c>
      <c r="N100" t="str">
        <f>_xlfn.XLOOKUP(C100,Products!A:A,Products!E:E)</f>
        <v>Islamabad</v>
      </c>
    </row>
    <row r="101" spans="1:14" x14ac:dyDescent="0.25">
      <c r="A101" t="s">
        <v>172</v>
      </c>
      <c r="B101" t="s">
        <v>122</v>
      </c>
      <c r="C101" t="s">
        <v>32</v>
      </c>
      <c r="D101">
        <v>2</v>
      </c>
      <c r="E101" s="1">
        <v>46162</v>
      </c>
      <c r="F101" t="s">
        <v>9</v>
      </c>
      <c r="G101" t="str">
        <f>VLOOKUP(C101,Products!A:E,2,0)</f>
        <v>Coffee Maker</v>
      </c>
      <c r="H101" t="str">
        <f>VLOOKUP(C101,Products!A:E,3,0)</f>
        <v>Home &amp; Kitchen</v>
      </c>
      <c r="I101">
        <f>VLOOKUP(C101,Products!A:E,4,0)</f>
        <v>110</v>
      </c>
      <c r="J101" t="str">
        <f>_xlfn.XLOOKUP(B101,Customers!A:A,Customers!B:B)</f>
        <v>Zeeshan Malik</v>
      </c>
      <c r="K101" t="str">
        <f>_xlfn.XLOOKUP(B101,Customers!A:A,Customers!C:C)</f>
        <v>Karachi</v>
      </c>
      <c r="L101" t="str">
        <f>_xlfn.XLOOKUP(B101,Customers!A:A,Customers!D:D)</f>
        <v>Gold</v>
      </c>
      <c r="M101">
        <f t="shared" si="1"/>
        <v>220</v>
      </c>
      <c r="N101" t="str">
        <f>_xlfn.XLOOKUP(C101,Products!A:A,Products!E:E)</f>
        <v>Karachi</v>
      </c>
    </row>
    <row r="102" spans="1:14" x14ac:dyDescent="0.25">
      <c r="A102" t="s">
        <v>173</v>
      </c>
      <c r="B102" t="s">
        <v>7</v>
      </c>
      <c r="C102" t="s">
        <v>35</v>
      </c>
      <c r="D102">
        <v>1</v>
      </c>
      <c r="E102" s="1">
        <v>46163</v>
      </c>
      <c r="F102" t="s">
        <v>9</v>
      </c>
      <c r="G102" t="str">
        <f>VLOOKUP(C102,Products!A:E,2,0)</f>
        <v>Face Serum</v>
      </c>
      <c r="H102" t="str">
        <f>VLOOKUP(C102,Products!A:E,3,0)</f>
        <v>Beauty</v>
      </c>
      <c r="I102">
        <f>VLOOKUP(C102,Products!A:E,4,0)</f>
        <v>30</v>
      </c>
      <c r="J102" t="str">
        <f>_xlfn.XLOOKUP(B102,Customers!A:A,Customers!B:B)</f>
        <v>Mariam Javed</v>
      </c>
      <c r="K102" t="str">
        <f>_xlfn.XLOOKUP(B102,Customers!A:A,Customers!C:C)</f>
        <v>Rawalpindi</v>
      </c>
      <c r="L102" t="str">
        <f>_xlfn.XLOOKUP(B102,Customers!A:A,Customers!D:D)</f>
        <v>Bronze</v>
      </c>
      <c r="M102">
        <f t="shared" si="1"/>
        <v>30</v>
      </c>
      <c r="N102" t="str">
        <f>_xlfn.XLOOKUP(C102,Products!A:A,Products!E:E)</f>
        <v>Lahore</v>
      </c>
    </row>
    <row r="103" spans="1:14" x14ac:dyDescent="0.25">
      <c r="A103" t="s">
        <v>174</v>
      </c>
      <c r="B103" t="s">
        <v>11</v>
      </c>
      <c r="C103" t="s">
        <v>38</v>
      </c>
      <c r="D103">
        <v>2</v>
      </c>
      <c r="E103" s="1">
        <v>46163</v>
      </c>
      <c r="F103" t="s">
        <v>19</v>
      </c>
      <c r="G103" t="str">
        <f>VLOOKUP(C103,Products!A:E,2,0)</f>
        <v>Rice Cooker</v>
      </c>
      <c r="H103" t="str">
        <f>VLOOKUP(C103,Products!A:E,3,0)</f>
        <v>Home &amp; Kitchen</v>
      </c>
      <c r="I103">
        <f>VLOOKUP(C103,Products!A:E,4,0)</f>
        <v>95</v>
      </c>
      <c r="J103" t="str">
        <f>_xlfn.XLOOKUP(B103,Customers!A:A,Customers!B:B)</f>
        <v>Rabia Tariq</v>
      </c>
      <c r="K103" t="str">
        <f>_xlfn.XLOOKUP(B103,Customers!A:A,Customers!C:C)</f>
        <v>Karachi</v>
      </c>
      <c r="L103" t="str">
        <f>_xlfn.XLOOKUP(B103,Customers!A:A,Customers!D:D)</f>
        <v>Gold</v>
      </c>
      <c r="M103">
        <f t="shared" si="1"/>
        <v>190</v>
      </c>
      <c r="N103" t="str">
        <f>_xlfn.XLOOKUP(C103,Products!A:A,Products!E:E)</f>
        <v>Rawalpindi</v>
      </c>
    </row>
    <row r="104" spans="1:14" x14ac:dyDescent="0.25">
      <c r="A104" t="s">
        <v>175</v>
      </c>
      <c r="B104" t="s">
        <v>14</v>
      </c>
      <c r="C104" t="s">
        <v>44</v>
      </c>
      <c r="D104">
        <v>3</v>
      </c>
      <c r="E104" s="1">
        <v>46164</v>
      </c>
      <c r="F104" t="s">
        <v>9</v>
      </c>
      <c r="G104" t="str">
        <f>VLOOKUP(C104,Products!A:E,2,0)</f>
        <v>Moisturizer</v>
      </c>
      <c r="H104" t="str">
        <f>VLOOKUP(C104,Products!A:E,3,0)</f>
        <v>Beauty</v>
      </c>
      <c r="I104">
        <f>VLOOKUP(C104,Products!A:E,4,0)</f>
        <v>25</v>
      </c>
      <c r="J104" t="str">
        <f>_xlfn.XLOOKUP(B104,Customers!A:A,Customers!B:B)</f>
        <v>Omar Tariq</v>
      </c>
      <c r="K104" t="str">
        <f>_xlfn.XLOOKUP(B104,Customers!A:A,Customers!C:C)</f>
        <v>Karachi</v>
      </c>
      <c r="L104" t="str">
        <f>_xlfn.XLOOKUP(B104,Customers!A:A,Customers!D:D)</f>
        <v>Gold</v>
      </c>
      <c r="M104">
        <f t="shared" si="1"/>
        <v>75</v>
      </c>
      <c r="N104" t="str">
        <f>_xlfn.XLOOKUP(C104,Products!A:A,Products!E:E)</f>
        <v>Lahore</v>
      </c>
    </row>
    <row r="105" spans="1:14" x14ac:dyDescent="0.25">
      <c r="A105" t="s">
        <v>176</v>
      </c>
      <c r="B105" t="s">
        <v>17</v>
      </c>
      <c r="C105" t="s">
        <v>28</v>
      </c>
      <c r="D105">
        <v>1</v>
      </c>
      <c r="E105" s="1">
        <v>46164</v>
      </c>
      <c r="F105" t="s">
        <v>9</v>
      </c>
      <c r="G105" t="str">
        <f>VLOOKUP(C105,Products!A:E,2,0)</f>
        <v>Wireless Earbuds</v>
      </c>
      <c r="H105" t="str">
        <f>VLOOKUP(C105,Products!A:E,3,0)</f>
        <v>Electronics</v>
      </c>
      <c r="I105">
        <f>VLOOKUP(C105,Products!A:E,4,0)</f>
        <v>45</v>
      </c>
      <c r="J105" t="str">
        <f>_xlfn.XLOOKUP(B105,Customers!A:A,Customers!B:B)</f>
        <v>Faisal Chaudhry</v>
      </c>
      <c r="K105" t="str">
        <f>_xlfn.XLOOKUP(B105,Customers!A:A,Customers!C:C)</f>
        <v>Islamabad</v>
      </c>
      <c r="L105" t="str">
        <f>_xlfn.XLOOKUP(B105,Customers!A:A,Customers!D:D)</f>
        <v>Bronze</v>
      </c>
      <c r="M105">
        <f t="shared" si="1"/>
        <v>45</v>
      </c>
      <c r="N105" t="str">
        <f>_xlfn.XLOOKUP(C105,Products!A:A,Products!E:E)</f>
        <v>Lahore</v>
      </c>
    </row>
    <row r="106" spans="1:14" x14ac:dyDescent="0.25">
      <c r="A106" t="s">
        <v>177</v>
      </c>
      <c r="B106" t="s">
        <v>21</v>
      </c>
      <c r="C106" t="s">
        <v>47</v>
      </c>
      <c r="D106">
        <v>2</v>
      </c>
      <c r="E106" s="1">
        <v>46165</v>
      </c>
      <c r="F106" t="s">
        <v>9</v>
      </c>
      <c r="G106" t="str">
        <f>VLOOKUP(C106,Products!A:E,2,0)</f>
        <v>Blender</v>
      </c>
      <c r="H106" t="str">
        <f>VLOOKUP(C106,Products!A:E,3,0)</f>
        <v>Home &amp; Kitchen</v>
      </c>
      <c r="I106">
        <f>VLOOKUP(C106,Products!A:E,4,0)</f>
        <v>120</v>
      </c>
      <c r="J106" t="str">
        <f>_xlfn.XLOOKUP(B106,Customers!A:A,Customers!B:B)</f>
        <v>Maryam Shah</v>
      </c>
      <c r="K106" t="str">
        <f>_xlfn.XLOOKUP(B106,Customers!A:A,Customers!C:C)</f>
        <v>Karachi</v>
      </c>
      <c r="L106" t="str">
        <f>_xlfn.XLOOKUP(B106,Customers!A:A,Customers!D:D)</f>
        <v>Bronze</v>
      </c>
      <c r="M106">
        <f t="shared" si="1"/>
        <v>240</v>
      </c>
      <c r="N106" t="str">
        <f>_xlfn.XLOOKUP(C106,Products!A:A,Products!E:E)</f>
        <v>Islamabad</v>
      </c>
    </row>
    <row r="107" spans="1:14" x14ac:dyDescent="0.25">
      <c r="A107" t="s">
        <v>178</v>
      </c>
      <c r="B107" t="s">
        <v>24</v>
      </c>
      <c r="C107" t="s">
        <v>8</v>
      </c>
      <c r="D107">
        <v>1</v>
      </c>
      <c r="E107" s="1">
        <v>46165</v>
      </c>
      <c r="F107" t="s">
        <v>29</v>
      </c>
      <c r="G107" t="str">
        <f>VLOOKUP(C107,Products!A:E,2,0)</f>
        <v>Laptop Stand</v>
      </c>
      <c r="H107" t="str">
        <f>VLOOKUP(C107,Products!A:E,3,0)</f>
        <v>Electronics</v>
      </c>
      <c r="I107">
        <f>VLOOKUP(C107,Products!A:E,4,0)</f>
        <v>40</v>
      </c>
      <c r="J107" t="str">
        <f>_xlfn.XLOOKUP(B107,Customers!A:A,Customers!B:B)</f>
        <v>Bilal Raza</v>
      </c>
      <c r="K107" t="str">
        <f>_xlfn.XLOOKUP(B107,Customers!A:A,Customers!C:C)</f>
        <v>Islamabad</v>
      </c>
      <c r="L107" t="str">
        <f>_xlfn.XLOOKUP(B107,Customers!A:A,Customers!D:D)</f>
        <v>Bronze</v>
      </c>
      <c r="M107">
        <f t="shared" si="1"/>
        <v>40</v>
      </c>
      <c r="N107" t="str">
        <f>_xlfn.XLOOKUP(C107,Products!A:A,Products!E:E)</f>
        <v>Rawalpindi</v>
      </c>
    </row>
    <row r="108" spans="1:14" x14ac:dyDescent="0.25">
      <c r="A108" t="s">
        <v>179</v>
      </c>
      <c r="B108" t="s">
        <v>27</v>
      </c>
      <c r="C108" t="s">
        <v>53</v>
      </c>
      <c r="D108">
        <v>3</v>
      </c>
      <c r="E108" s="1">
        <v>46166</v>
      </c>
      <c r="F108" t="s">
        <v>9</v>
      </c>
      <c r="G108" t="str">
        <f>VLOOKUP(C108,Products!A:E,2,0)</f>
        <v>Night Cream</v>
      </c>
      <c r="H108" t="str">
        <f>VLOOKUP(C108,Products!A:E,3,0)</f>
        <v>Beauty</v>
      </c>
      <c r="I108">
        <f>VLOOKUP(C108,Products!A:E,4,0)</f>
        <v>40</v>
      </c>
      <c r="J108" t="str">
        <f>_xlfn.XLOOKUP(B108,Customers!A:A,Customers!B:B)</f>
        <v>Amna Rizvi</v>
      </c>
      <c r="K108" t="str">
        <f>_xlfn.XLOOKUP(B108,Customers!A:A,Customers!C:C)</f>
        <v>Lahore</v>
      </c>
      <c r="L108" t="str">
        <f>_xlfn.XLOOKUP(B108,Customers!A:A,Customers!D:D)</f>
        <v>Bronze</v>
      </c>
      <c r="M108">
        <f t="shared" si="1"/>
        <v>120</v>
      </c>
      <c r="N108" t="str">
        <f>_xlfn.XLOOKUP(C108,Products!A:A,Products!E:E)</f>
        <v>Faisalabad</v>
      </c>
    </row>
    <row r="109" spans="1:14" x14ac:dyDescent="0.25">
      <c r="A109" t="s">
        <v>180</v>
      </c>
      <c r="B109" t="s">
        <v>31</v>
      </c>
      <c r="C109" t="s">
        <v>25</v>
      </c>
      <c r="D109">
        <v>2</v>
      </c>
      <c r="E109" s="1">
        <v>46166</v>
      </c>
      <c r="F109" t="s">
        <v>9</v>
      </c>
      <c r="G109" t="str">
        <f>VLOOKUP(C109,Products!A:E,2,0)</f>
        <v>Sunscreen</v>
      </c>
      <c r="H109" t="str">
        <f>VLOOKUP(C109,Products!A:E,3,0)</f>
        <v>Beauty</v>
      </c>
      <c r="I109">
        <f>VLOOKUP(C109,Products!A:E,4,0)</f>
        <v>15</v>
      </c>
      <c r="J109" t="str">
        <f>_xlfn.XLOOKUP(B109,Customers!A:A,Customers!B:B)</f>
        <v>Sana Malik</v>
      </c>
      <c r="K109" t="str">
        <f>_xlfn.XLOOKUP(B109,Customers!A:A,Customers!C:C)</f>
        <v>Lahore</v>
      </c>
      <c r="L109" t="str">
        <f>_xlfn.XLOOKUP(B109,Customers!A:A,Customers!D:D)</f>
        <v>Silver</v>
      </c>
      <c r="M109">
        <f t="shared" si="1"/>
        <v>30</v>
      </c>
      <c r="N109" t="str">
        <f>_xlfn.XLOOKUP(C109,Products!A:A,Products!E:E)</f>
        <v>Karachi</v>
      </c>
    </row>
    <row r="110" spans="1:14" x14ac:dyDescent="0.25">
      <c r="A110" t="s">
        <v>181</v>
      </c>
      <c r="B110" t="s">
        <v>34</v>
      </c>
      <c r="C110" t="s">
        <v>50</v>
      </c>
      <c r="D110">
        <v>1</v>
      </c>
      <c r="E110" s="1">
        <v>46167</v>
      </c>
      <c r="F110" t="s">
        <v>9</v>
      </c>
      <c r="G110" t="str">
        <f>VLOOKUP(C110,Products!A:E,2,0)</f>
        <v>Bluetooth Speaker</v>
      </c>
      <c r="H110" t="str">
        <f>VLOOKUP(C110,Products!A:E,3,0)</f>
        <v>Electronics</v>
      </c>
      <c r="I110">
        <f>VLOOKUP(C110,Products!A:E,4,0)</f>
        <v>95</v>
      </c>
      <c r="J110" t="str">
        <f>_xlfn.XLOOKUP(B110,Customers!A:A,Customers!B:B)</f>
        <v>Farah Noor</v>
      </c>
      <c r="K110" t="str">
        <f>_xlfn.XLOOKUP(B110,Customers!A:A,Customers!C:C)</f>
        <v>Karachi</v>
      </c>
      <c r="L110" t="str">
        <f>_xlfn.XLOOKUP(B110,Customers!A:A,Customers!D:D)</f>
        <v>Silver</v>
      </c>
      <c r="M110">
        <f t="shared" si="1"/>
        <v>95</v>
      </c>
      <c r="N110" t="str">
        <f>_xlfn.XLOOKUP(C110,Products!A:A,Products!E:E)</f>
        <v>Karachi</v>
      </c>
    </row>
    <row r="111" spans="1:14" x14ac:dyDescent="0.25">
      <c r="A111" t="s">
        <v>182</v>
      </c>
      <c r="B111" t="s">
        <v>37</v>
      </c>
      <c r="C111" t="s">
        <v>18</v>
      </c>
      <c r="D111">
        <v>4</v>
      </c>
      <c r="E111" s="1">
        <v>46167</v>
      </c>
      <c r="F111" t="s">
        <v>9</v>
      </c>
      <c r="G111" t="str">
        <f>VLOOKUP(C111,Products!A:E,2,0)</f>
        <v>Hair Serum</v>
      </c>
      <c r="H111" t="str">
        <f>VLOOKUP(C111,Products!A:E,3,0)</f>
        <v>Beauty</v>
      </c>
      <c r="I111">
        <f>VLOOKUP(C111,Products!A:E,4,0)</f>
        <v>35</v>
      </c>
      <c r="J111" t="str">
        <f>_xlfn.XLOOKUP(B111,Customers!A:A,Customers!B:B)</f>
        <v>Talha Mirza</v>
      </c>
      <c r="K111" t="str">
        <f>_xlfn.XLOOKUP(B111,Customers!A:A,Customers!C:C)</f>
        <v>Lahore</v>
      </c>
      <c r="L111" t="str">
        <f>_xlfn.XLOOKUP(B111,Customers!A:A,Customers!D:D)</f>
        <v>Bronze</v>
      </c>
      <c r="M111">
        <f t="shared" si="1"/>
        <v>140</v>
      </c>
      <c r="N111" t="str">
        <f>_xlfn.XLOOKUP(C111,Products!A:A,Products!E:E)</f>
        <v>Islamabad</v>
      </c>
    </row>
    <row r="112" spans="1:14" x14ac:dyDescent="0.25">
      <c r="A112" t="s">
        <v>183</v>
      </c>
      <c r="B112" t="s">
        <v>40</v>
      </c>
      <c r="C112" t="s">
        <v>12</v>
      </c>
      <c r="D112">
        <v>1</v>
      </c>
      <c r="E112" s="1">
        <v>46168</v>
      </c>
      <c r="F112" t="s">
        <v>9</v>
      </c>
      <c r="G112" t="str">
        <f>VLOOKUP(C112,Products!A:E,2,0)</f>
        <v>Air Fryer</v>
      </c>
      <c r="H112" t="str">
        <f>VLOOKUP(C112,Products!A:E,3,0)</f>
        <v>Home &amp; Kitchen</v>
      </c>
      <c r="I112">
        <f>VLOOKUP(C112,Products!A:E,4,0)</f>
        <v>150</v>
      </c>
      <c r="J112" t="str">
        <f>_xlfn.XLOOKUP(B112,Customers!A:A,Customers!B:B)</f>
        <v>Ayesha Siddiqui</v>
      </c>
      <c r="K112" t="str">
        <f>_xlfn.XLOOKUP(B112,Customers!A:A,Customers!C:C)</f>
        <v>Islamabad</v>
      </c>
      <c r="L112" t="str">
        <f>_xlfn.XLOOKUP(B112,Customers!A:A,Customers!D:D)</f>
        <v>Silver</v>
      </c>
      <c r="M112">
        <f t="shared" si="1"/>
        <v>150</v>
      </c>
      <c r="N112" t="str">
        <f>_xlfn.XLOOKUP(C112,Products!A:A,Products!E:E)</f>
        <v>Lahore</v>
      </c>
    </row>
    <row r="113" spans="1:14" x14ac:dyDescent="0.25">
      <c r="A113" t="s">
        <v>184</v>
      </c>
      <c r="B113" t="s">
        <v>43</v>
      </c>
      <c r="C113" t="s">
        <v>15</v>
      </c>
      <c r="D113">
        <v>2</v>
      </c>
      <c r="E113" s="1">
        <v>46168</v>
      </c>
      <c r="F113" t="s">
        <v>9</v>
      </c>
      <c r="G113" t="str">
        <f>VLOOKUP(C113,Products!A:E,2,0)</f>
        <v>Phone Case</v>
      </c>
      <c r="H113" t="str">
        <f>VLOOKUP(C113,Products!A:E,3,0)</f>
        <v>Electronics</v>
      </c>
      <c r="I113">
        <f>VLOOKUP(C113,Products!A:E,4,0)</f>
        <v>12</v>
      </c>
      <c r="J113" t="str">
        <f>_xlfn.XLOOKUP(B113,Customers!A:A,Customers!B:B)</f>
        <v>Ali Hussain</v>
      </c>
      <c r="K113" t="str">
        <f>_xlfn.XLOOKUP(B113,Customers!A:A,Customers!C:C)</f>
        <v>Karachi</v>
      </c>
      <c r="L113" t="str">
        <f>_xlfn.XLOOKUP(B113,Customers!A:A,Customers!D:D)</f>
        <v>Gold</v>
      </c>
      <c r="M113">
        <f t="shared" si="1"/>
        <v>24</v>
      </c>
      <c r="N113" t="str">
        <f>_xlfn.XLOOKUP(C113,Products!A:A,Products!E:E)</f>
        <v>Islamabad</v>
      </c>
    </row>
    <row r="114" spans="1:14" x14ac:dyDescent="0.25">
      <c r="A114" t="s">
        <v>185</v>
      </c>
      <c r="B114" t="s">
        <v>46</v>
      </c>
      <c r="C114" t="s">
        <v>32</v>
      </c>
      <c r="D114">
        <v>1</v>
      </c>
      <c r="E114" s="1">
        <v>46169</v>
      </c>
      <c r="F114" t="s">
        <v>9</v>
      </c>
      <c r="G114" t="str">
        <f>VLOOKUP(C114,Products!A:E,2,0)</f>
        <v>Coffee Maker</v>
      </c>
      <c r="H114" t="str">
        <f>VLOOKUP(C114,Products!A:E,3,0)</f>
        <v>Home &amp; Kitchen</v>
      </c>
      <c r="I114">
        <f>VLOOKUP(C114,Products!A:E,4,0)</f>
        <v>110</v>
      </c>
      <c r="J114" t="str">
        <f>_xlfn.XLOOKUP(B114,Customers!A:A,Customers!B:B)</f>
        <v>Noor Fatima</v>
      </c>
      <c r="K114" t="str">
        <f>_xlfn.XLOOKUP(B114,Customers!A:A,Customers!C:C)</f>
        <v>Lahore</v>
      </c>
      <c r="L114" t="str">
        <f>_xlfn.XLOOKUP(B114,Customers!A:A,Customers!D:D)</f>
        <v>Gold</v>
      </c>
      <c r="M114">
        <f t="shared" si="1"/>
        <v>110</v>
      </c>
      <c r="N114" t="str">
        <f>_xlfn.XLOOKUP(C114,Products!A:A,Products!E:E)</f>
        <v>Karachi</v>
      </c>
    </row>
    <row r="115" spans="1:14" x14ac:dyDescent="0.25">
      <c r="A115" t="s">
        <v>186</v>
      </c>
      <c r="B115" t="s">
        <v>49</v>
      </c>
      <c r="C115" t="s">
        <v>35</v>
      </c>
      <c r="D115">
        <v>3</v>
      </c>
      <c r="E115" s="1">
        <v>46169</v>
      </c>
      <c r="F115" t="s">
        <v>9</v>
      </c>
      <c r="G115" t="str">
        <f>VLOOKUP(C115,Products!A:E,2,0)</f>
        <v>Face Serum</v>
      </c>
      <c r="H115" t="str">
        <f>VLOOKUP(C115,Products!A:E,3,0)</f>
        <v>Beauty</v>
      </c>
      <c r="I115">
        <f>VLOOKUP(C115,Products!A:E,4,0)</f>
        <v>30</v>
      </c>
      <c r="J115" t="str">
        <f>_xlfn.XLOOKUP(B115,Customers!A:A,Customers!B:B)</f>
        <v>Zainab Hussain</v>
      </c>
      <c r="K115" t="str">
        <f>_xlfn.XLOOKUP(B115,Customers!A:A,Customers!C:C)</f>
        <v>Lahore</v>
      </c>
      <c r="L115" t="str">
        <f>_xlfn.XLOOKUP(B115,Customers!A:A,Customers!D:D)</f>
        <v>Bronze</v>
      </c>
      <c r="M115">
        <f t="shared" si="1"/>
        <v>90</v>
      </c>
      <c r="N115" t="str">
        <f>_xlfn.XLOOKUP(C115,Products!A:A,Products!E:E)</f>
        <v>Lahore</v>
      </c>
    </row>
    <row r="116" spans="1:14" x14ac:dyDescent="0.25">
      <c r="A116" t="s">
        <v>187</v>
      </c>
      <c r="B116" t="s">
        <v>52</v>
      </c>
      <c r="C116" t="s">
        <v>38</v>
      </c>
      <c r="D116">
        <v>2</v>
      </c>
      <c r="E116" s="1">
        <v>46170</v>
      </c>
      <c r="F116" t="s">
        <v>19</v>
      </c>
      <c r="G116" t="str">
        <f>VLOOKUP(C116,Products!A:E,2,0)</f>
        <v>Rice Cooker</v>
      </c>
      <c r="H116" t="str">
        <f>VLOOKUP(C116,Products!A:E,3,0)</f>
        <v>Home &amp; Kitchen</v>
      </c>
      <c r="I116">
        <f>VLOOKUP(C116,Products!A:E,4,0)</f>
        <v>95</v>
      </c>
      <c r="J116" t="str">
        <f>_xlfn.XLOOKUP(B116,Customers!A:A,Customers!B:B)</f>
        <v>Bilal Sheikh</v>
      </c>
      <c r="K116" t="str">
        <f>_xlfn.XLOOKUP(B116,Customers!A:A,Customers!C:C)</f>
        <v>Rawalpindi</v>
      </c>
      <c r="L116" t="str">
        <f>_xlfn.XLOOKUP(B116,Customers!A:A,Customers!D:D)</f>
        <v>Bronze</v>
      </c>
      <c r="M116">
        <f t="shared" si="1"/>
        <v>190</v>
      </c>
      <c r="N116" t="str">
        <f>_xlfn.XLOOKUP(C116,Products!A:A,Products!E:E)</f>
        <v>Rawalpindi</v>
      </c>
    </row>
    <row r="117" spans="1:14" x14ac:dyDescent="0.25">
      <c r="A117" t="s">
        <v>188</v>
      </c>
      <c r="B117" t="s">
        <v>55</v>
      </c>
      <c r="C117" t="s">
        <v>44</v>
      </c>
      <c r="D117">
        <v>1</v>
      </c>
      <c r="E117" s="1">
        <v>46170</v>
      </c>
      <c r="F117" t="s">
        <v>9</v>
      </c>
      <c r="G117" t="str">
        <f>VLOOKUP(C117,Products!A:E,2,0)</f>
        <v>Moisturizer</v>
      </c>
      <c r="H117" t="str">
        <f>VLOOKUP(C117,Products!A:E,3,0)</f>
        <v>Beauty</v>
      </c>
      <c r="I117">
        <f>VLOOKUP(C117,Products!A:E,4,0)</f>
        <v>25</v>
      </c>
      <c r="J117" t="str">
        <f>_xlfn.XLOOKUP(B117,Customers!A:A,Customers!B:B)</f>
        <v>Omer Farooq</v>
      </c>
      <c r="K117" t="str">
        <f>_xlfn.XLOOKUP(B117,Customers!A:A,Customers!C:C)</f>
        <v>Islamabad</v>
      </c>
      <c r="L117" t="str">
        <f>_xlfn.XLOOKUP(B117,Customers!A:A,Customers!D:D)</f>
        <v>Silver</v>
      </c>
      <c r="M117">
        <f t="shared" si="1"/>
        <v>25</v>
      </c>
      <c r="N117" t="str">
        <f>_xlfn.XLOOKUP(C117,Products!A:A,Products!E:E)</f>
        <v>Lahore</v>
      </c>
    </row>
    <row r="118" spans="1:14" x14ac:dyDescent="0.25">
      <c r="A118" t="s">
        <v>189</v>
      </c>
      <c r="B118" t="s">
        <v>57</v>
      </c>
      <c r="C118" t="s">
        <v>28</v>
      </c>
      <c r="D118">
        <v>2</v>
      </c>
      <c r="E118" s="1">
        <v>46171</v>
      </c>
      <c r="F118" t="s">
        <v>9</v>
      </c>
      <c r="G118" t="str">
        <f>VLOOKUP(C118,Products!A:E,2,0)</f>
        <v>Wireless Earbuds</v>
      </c>
      <c r="H118" t="str">
        <f>VLOOKUP(C118,Products!A:E,3,0)</f>
        <v>Electronics</v>
      </c>
      <c r="I118">
        <f>VLOOKUP(C118,Products!A:E,4,0)</f>
        <v>45</v>
      </c>
      <c r="J118" t="str">
        <f>_xlfn.XLOOKUP(B118,Customers!A:A,Customers!B:B)</f>
        <v>Hamza Tariq</v>
      </c>
      <c r="K118" t="str">
        <f>_xlfn.XLOOKUP(B118,Customers!A:A,Customers!C:C)</f>
        <v>Karachi</v>
      </c>
      <c r="L118" t="str">
        <f>_xlfn.XLOOKUP(B118,Customers!A:A,Customers!D:D)</f>
        <v>Silver</v>
      </c>
      <c r="M118">
        <f t="shared" si="1"/>
        <v>90</v>
      </c>
      <c r="N118" t="str">
        <f>_xlfn.XLOOKUP(C118,Products!A:A,Products!E:E)</f>
        <v>Lahore</v>
      </c>
    </row>
    <row r="119" spans="1:14" x14ac:dyDescent="0.25">
      <c r="A119" t="s">
        <v>190</v>
      </c>
      <c r="B119" t="s">
        <v>59</v>
      </c>
      <c r="C119" t="s">
        <v>47</v>
      </c>
      <c r="D119">
        <v>1</v>
      </c>
      <c r="E119" s="1">
        <v>46171</v>
      </c>
      <c r="F119" t="s">
        <v>9</v>
      </c>
      <c r="G119" t="str">
        <f>VLOOKUP(C119,Products!A:E,2,0)</f>
        <v>Blender</v>
      </c>
      <c r="H119" t="str">
        <f>VLOOKUP(C119,Products!A:E,3,0)</f>
        <v>Home &amp; Kitchen</v>
      </c>
      <c r="I119">
        <f>VLOOKUP(C119,Products!A:E,4,0)</f>
        <v>120</v>
      </c>
      <c r="J119" t="str">
        <f>_xlfn.XLOOKUP(B119,Customers!A:A,Customers!B:B)</f>
        <v>Tariq Mehmood</v>
      </c>
      <c r="K119" t="str">
        <f>_xlfn.XLOOKUP(B119,Customers!A:A,Customers!C:C)</f>
        <v>Islamabad</v>
      </c>
      <c r="L119" t="str">
        <f>_xlfn.XLOOKUP(B119,Customers!A:A,Customers!D:D)</f>
        <v>Gold</v>
      </c>
      <c r="M119">
        <f t="shared" si="1"/>
        <v>120</v>
      </c>
      <c r="N119" t="str">
        <f>_xlfn.XLOOKUP(C119,Products!A:A,Products!E:E)</f>
        <v>Islamabad</v>
      </c>
    </row>
    <row r="120" spans="1:14" x14ac:dyDescent="0.25">
      <c r="A120" t="s">
        <v>191</v>
      </c>
      <c r="B120" t="s">
        <v>61</v>
      </c>
      <c r="C120" t="s">
        <v>8</v>
      </c>
      <c r="D120">
        <v>3</v>
      </c>
      <c r="E120" s="1">
        <v>46172</v>
      </c>
      <c r="F120" t="s">
        <v>9</v>
      </c>
      <c r="G120" t="str">
        <f>VLOOKUP(C120,Products!A:E,2,0)</f>
        <v>Laptop Stand</v>
      </c>
      <c r="H120" t="str">
        <f>VLOOKUP(C120,Products!A:E,3,0)</f>
        <v>Electronics</v>
      </c>
      <c r="I120">
        <f>VLOOKUP(C120,Products!A:E,4,0)</f>
        <v>40</v>
      </c>
      <c r="J120" t="str">
        <f>_xlfn.XLOOKUP(B120,Customers!A:A,Customers!B:B)</f>
        <v>Sara Ali</v>
      </c>
      <c r="K120" t="str">
        <f>_xlfn.XLOOKUP(B120,Customers!A:A,Customers!C:C)</f>
        <v>Lahore</v>
      </c>
      <c r="L120" t="str">
        <f>_xlfn.XLOOKUP(B120,Customers!A:A,Customers!D:D)</f>
        <v>Silver</v>
      </c>
      <c r="M120">
        <f t="shared" si="1"/>
        <v>120</v>
      </c>
      <c r="N120" t="str">
        <f>_xlfn.XLOOKUP(C120,Products!A:A,Products!E:E)</f>
        <v>Rawalpindi</v>
      </c>
    </row>
    <row r="121" spans="1:14" x14ac:dyDescent="0.25">
      <c r="A121" t="s">
        <v>192</v>
      </c>
      <c r="B121" t="s">
        <v>63</v>
      </c>
      <c r="C121" t="s">
        <v>53</v>
      </c>
      <c r="D121">
        <v>2</v>
      </c>
      <c r="E121" s="1">
        <v>46172</v>
      </c>
      <c r="F121" t="s">
        <v>9</v>
      </c>
      <c r="G121" t="str">
        <f>VLOOKUP(C121,Products!A:E,2,0)</f>
        <v>Night Cream</v>
      </c>
      <c r="H121" t="str">
        <f>VLOOKUP(C121,Products!A:E,3,0)</f>
        <v>Beauty</v>
      </c>
      <c r="I121">
        <f>VLOOKUP(C121,Products!A:E,4,0)</f>
        <v>40</v>
      </c>
      <c r="J121" t="str">
        <f>_xlfn.XLOOKUP(B121,Customers!A:A,Customers!B:B)</f>
        <v>Zara Malik</v>
      </c>
      <c r="K121" t="str">
        <f>_xlfn.XLOOKUP(B121,Customers!A:A,Customers!C:C)</f>
        <v>Islamabad</v>
      </c>
      <c r="L121" t="str">
        <f>_xlfn.XLOOKUP(B121,Customers!A:A,Customers!D:D)</f>
        <v>Bronze</v>
      </c>
      <c r="M121">
        <f t="shared" si="1"/>
        <v>80</v>
      </c>
      <c r="N121" t="str">
        <f>_xlfn.XLOOKUP(C121,Products!A:A,Products!E:E)</f>
        <v>Faisalabad</v>
      </c>
    </row>
    <row r="122" spans="1:14" x14ac:dyDescent="0.25">
      <c r="A122" t="s">
        <v>193</v>
      </c>
      <c r="B122" t="s">
        <v>65</v>
      </c>
      <c r="C122" t="s">
        <v>25</v>
      </c>
      <c r="D122">
        <v>1</v>
      </c>
      <c r="E122" s="1">
        <v>46173</v>
      </c>
      <c r="F122" t="s">
        <v>9</v>
      </c>
      <c r="G122" t="str">
        <f>VLOOKUP(C122,Products!A:E,2,0)</f>
        <v>Sunscreen</v>
      </c>
      <c r="H122" t="str">
        <f>VLOOKUP(C122,Products!A:E,3,0)</f>
        <v>Beauty</v>
      </c>
      <c r="I122">
        <f>VLOOKUP(C122,Products!A:E,4,0)</f>
        <v>15</v>
      </c>
      <c r="J122" t="str">
        <f>_xlfn.XLOOKUP(B122,Customers!A:A,Customers!B:B)</f>
        <v>Rabia Noor</v>
      </c>
      <c r="K122" t="str">
        <f>_xlfn.XLOOKUP(B122,Customers!A:A,Customers!C:C)</f>
        <v>Karachi</v>
      </c>
      <c r="L122" t="str">
        <f>_xlfn.XLOOKUP(B122,Customers!A:A,Customers!D:D)</f>
        <v>Gold</v>
      </c>
      <c r="M122">
        <f t="shared" si="1"/>
        <v>15</v>
      </c>
      <c r="N122" t="str">
        <f>_xlfn.XLOOKUP(C122,Products!A:A,Products!E:E)</f>
        <v>Karachi</v>
      </c>
    </row>
    <row r="123" spans="1:14" x14ac:dyDescent="0.25">
      <c r="A123" t="s">
        <v>194</v>
      </c>
      <c r="B123" t="s">
        <v>67</v>
      </c>
      <c r="C123" t="s">
        <v>50</v>
      </c>
      <c r="D123">
        <v>2</v>
      </c>
      <c r="E123" s="1">
        <v>46173</v>
      </c>
      <c r="F123" t="s">
        <v>9</v>
      </c>
      <c r="G123" t="str">
        <f>VLOOKUP(C123,Products!A:E,2,0)</f>
        <v>Bluetooth Speaker</v>
      </c>
      <c r="H123" t="str">
        <f>VLOOKUP(C123,Products!A:E,3,0)</f>
        <v>Electronics</v>
      </c>
      <c r="I123">
        <f>VLOOKUP(C123,Products!A:E,4,0)</f>
        <v>95</v>
      </c>
      <c r="J123" t="str">
        <f>_xlfn.XLOOKUP(B123,Customers!A:A,Customers!B:B)</f>
        <v>Kamran Iqbal</v>
      </c>
      <c r="K123" t="str">
        <f>_xlfn.XLOOKUP(B123,Customers!A:A,Customers!C:C)</f>
        <v>Faisalabad</v>
      </c>
      <c r="L123" t="str">
        <f>_xlfn.XLOOKUP(B123,Customers!A:A,Customers!D:D)</f>
        <v>Gold</v>
      </c>
      <c r="M123">
        <f t="shared" si="1"/>
        <v>190</v>
      </c>
      <c r="N123" t="str">
        <f>_xlfn.XLOOKUP(C123,Products!A:A,Products!E:E)</f>
        <v>Karachi</v>
      </c>
    </row>
    <row r="124" spans="1:14" x14ac:dyDescent="0.25">
      <c r="A124" t="s">
        <v>195</v>
      </c>
      <c r="B124" t="s">
        <v>69</v>
      </c>
      <c r="C124" t="s">
        <v>18</v>
      </c>
      <c r="D124">
        <v>3</v>
      </c>
      <c r="E124" s="1">
        <v>46174</v>
      </c>
      <c r="F124" t="s">
        <v>9</v>
      </c>
      <c r="G124" t="str">
        <f>VLOOKUP(C124,Products!A:E,2,0)</f>
        <v>Hair Serum</v>
      </c>
      <c r="H124" t="str">
        <f>VLOOKUP(C124,Products!A:E,3,0)</f>
        <v>Beauty</v>
      </c>
      <c r="I124">
        <f>VLOOKUP(C124,Products!A:E,4,0)</f>
        <v>35</v>
      </c>
      <c r="J124" t="str">
        <f>_xlfn.XLOOKUP(B124,Customers!A:A,Customers!B:B)</f>
        <v>Nabeel Awan</v>
      </c>
      <c r="K124" t="str">
        <f>_xlfn.XLOOKUP(B124,Customers!A:A,Customers!C:C)</f>
        <v>Islamabad</v>
      </c>
      <c r="L124" t="str">
        <f>_xlfn.XLOOKUP(B124,Customers!A:A,Customers!D:D)</f>
        <v>Bronze</v>
      </c>
      <c r="M124">
        <f t="shared" si="1"/>
        <v>105</v>
      </c>
      <c r="N124" t="str">
        <f>_xlfn.XLOOKUP(C124,Products!A:A,Products!E:E)</f>
        <v>Islamabad</v>
      </c>
    </row>
    <row r="125" spans="1:14" x14ac:dyDescent="0.25">
      <c r="A125" t="s">
        <v>196</v>
      </c>
      <c r="B125" t="s">
        <v>71</v>
      </c>
      <c r="C125" t="s">
        <v>12</v>
      </c>
      <c r="D125">
        <v>1</v>
      </c>
      <c r="E125" s="1">
        <v>46174</v>
      </c>
      <c r="F125" t="s">
        <v>9</v>
      </c>
      <c r="G125" t="str">
        <f>VLOOKUP(C125,Products!A:E,2,0)</f>
        <v>Air Fryer</v>
      </c>
      <c r="H125" t="str">
        <f>VLOOKUP(C125,Products!A:E,3,0)</f>
        <v>Home &amp; Kitchen</v>
      </c>
      <c r="I125">
        <f>VLOOKUP(C125,Products!A:E,4,0)</f>
        <v>150</v>
      </c>
      <c r="J125" t="str">
        <f>_xlfn.XLOOKUP(B125,Customers!A:A,Customers!B:B)</f>
        <v>Bilal Ahmed</v>
      </c>
      <c r="K125" t="str">
        <f>_xlfn.XLOOKUP(B125,Customers!A:A,Customers!C:C)</f>
        <v>Faisalabad</v>
      </c>
      <c r="L125" t="str">
        <f>_xlfn.XLOOKUP(B125,Customers!A:A,Customers!D:D)</f>
        <v>Bronze</v>
      </c>
      <c r="M125">
        <f t="shared" si="1"/>
        <v>150</v>
      </c>
      <c r="N125" t="str">
        <f>_xlfn.XLOOKUP(C125,Products!A:A,Products!E:E)</f>
        <v>Lahore</v>
      </c>
    </row>
    <row r="126" spans="1:14" x14ac:dyDescent="0.25">
      <c r="A126" t="s">
        <v>197</v>
      </c>
      <c r="B126" t="s">
        <v>73</v>
      </c>
      <c r="C126" t="s">
        <v>15</v>
      </c>
      <c r="D126">
        <v>2</v>
      </c>
      <c r="E126" s="1">
        <v>46175</v>
      </c>
      <c r="F126" t="s">
        <v>19</v>
      </c>
      <c r="G126" t="str">
        <f>VLOOKUP(C126,Products!A:E,2,0)</f>
        <v>Phone Case</v>
      </c>
      <c r="H126" t="str">
        <f>VLOOKUP(C126,Products!A:E,3,0)</f>
        <v>Electronics</v>
      </c>
      <c r="I126">
        <f>VLOOKUP(C126,Products!A:E,4,0)</f>
        <v>12</v>
      </c>
      <c r="J126" t="str">
        <f>_xlfn.XLOOKUP(B126,Customers!A:A,Customers!B:B)</f>
        <v>Imran Satti</v>
      </c>
      <c r="K126" t="str">
        <f>_xlfn.XLOOKUP(B126,Customers!A:A,Customers!C:C)</f>
        <v>Islamabad</v>
      </c>
      <c r="L126" t="str">
        <f>_xlfn.XLOOKUP(B126,Customers!A:A,Customers!D:D)</f>
        <v>Gold</v>
      </c>
      <c r="M126">
        <f t="shared" si="1"/>
        <v>24</v>
      </c>
      <c r="N126" t="str">
        <f>_xlfn.XLOOKUP(C126,Products!A:A,Products!E:E)</f>
        <v>Islamabad</v>
      </c>
    </row>
    <row r="127" spans="1:14" x14ac:dyDescent="0.25">
      <c r="A127" t="s">
        <v>198</v>
      </c>
      <c r="B127" t="s">
        <v>75</v>
      </c>
      <c r="C127" t="s">
        <v>32</v>
      </c>
      <c r="D127">
        <v>1</v>
      </c>
      <c r="E127" s="1">
        <v>46175</v>
      </c>
      <c r="F127" t="s">
        <v>9</v>
      </c>
      <c r="G127" t="str">
        <f>VLOOKUP(C127,Products!A:E,2,0)</f>
        <v>Coffee Maker</v>
      </c>
      <c r="H127" t="str">
        <f>VLOOKUP(C127,Products!A:E,3,0)</f>
        <v>Home &amp; Kitchen</v>
      </c>
      <c r="I127">
        <f>VLOOKUP(C127,Products!A:E,4,0)</f>
        <v>110</v>
      </c>
      <c r="J127" t="str">
        <f>_xlfn.XLOOKUP(B127,Customers!A:A,Customers!B:B)</f>
        <v>Imran Khan</v>
      </c>
      <c r="K127" t="str">
        <f>_xlfn.XLOOKUP(B127,Customers!A:A,Customers!C:C)</f>
        <v>Rawalpindi</v>
      </c>
      <c r="L127" t="str">
        <f>_xlfn.XLOOKUP(B127,Customers!A:A,Customers!D:D)</f>
        <v>Bronze</v>
      </c>
      <c r="M127">
        <f t="shared" si="1"/>
        <v>110</v>
      </c>
      <c r="N127" t="str">
        <f>_xlfn.XLOOKUP(C127,Products!A:A,Products!E:E)</f>
        <v>Karachi</v>
      </c>
    </row>
    <row r="128" spans="1:14" x14ac:dyDescent="0.25">
      <c r="A128" t="s">
        <v>199</v>
      </c>
      <c r="B128" t="s">
        <v>77</v>
      </c>
      <c r="C128" t="s">
        <v>35</v>
      </c>
      <c r="D128">
        <v>3</v>
      </c>
      <c r="E128" s="1">
        <v>46176</v>
      </c>
      <c r="F128" t="s">
        <v>9</v>
      </c>
      <c r="G128" t="str">
        <f>VLOOKUP(C128,Products!A:E,2,0)</f>
        <v>Face Serum</v>
      </c>
      <c r="H128" t="str">
        <f>VLOOKUP(C128,Products!A:E,3,0)</f>
        <v>Beauty</v>
      </c>
      <c r="I128">
        <f>VLOOKUP(C128,Products!A:E,4,0)</f>
        <v>30</v>
      </c>
      <c r="J128" t="str">
        <f>_xlfn.XLOOKUP(B128,Customers!A:A,Customers!B:B)</f>
        <v>Hina Awan</v>
      </c>
      <c r="K128" t="str">
        <f>_xlfn.XLOOKUP(B128,Customers!A:A,Customers!C:C)</f>
        <v>Karachi</v>
      </c>
      <c r="L128" t="str">
        <f>_xlfn.XLOOKUP(B128,Customers!A:A,Customers!D:D)</f>
        <v>Silver</v>
      </c>
      <c r="M128">
        <f t="shared" si="1"/>
        <v>90</v>
      </c>
      <c r="N128" t="str">
        <f>_xlfn.XLOOKUP(C128,Products!A:A,Products!E:E)</f>
        <v>Lahore</v>
      </c>
    </row>
    <row r="129" spans="1:14" x14ac:dyDescent="0.25">
      <c r="A129" t="s">
        <v>200</v>
      </c>
      <c r="B129" t="s">
        <v>79</v>
      </c>
      <c r="C129" t="s">
        <v>38</v>
      </c>
      <c r="D129">
        <v>2</v>
      </c>
      <c r="E129" s="1">
        <v>46176</v>
      </c>
      <c r="F129" t="s">
        <v>9</v>
      </c>
      <c r="G129" t="str">
        <f>VLOOKUP(C129,Products!A:E,2,0)</f>
        <v>Rice Cooker</v>
      </c>
      <c r="H129" t="str">
        <f>VLOOKUP(C129,Products!A:E,3,0)</f>
        <v>Home &amp; Kitchen</v>
      </c>
      <c r="I129">
        <f>VLOOKUP(C129,Products!A:E,4,0)</f>
        <v>95</v>
      </c>
      <c r="J129" t="str">
        <f>_xlfn.XLOOKUP(B129,Customers!A:A,Customers!B:B)</f>
        <v>Sadia Awan</v>
      </c>
      <c r="K129" t="str">
        <f>_xlfn.XLOOKUP(B129,Customers!A:A,Customers!C:C)</f>
        <v>Lahore</v>
      </c>
      <c r="L129" t="str">
        <f>_xlfn.XLOOKUP(B129,Customers!A:A,Customers!D:D)</f>
        <v>Bronze</v>
      </c>
      <c r="M129">
        <f t="shared" si="1"/>
        <v>190</v>
      </c>
      <c r="N129" t="str">
        <f>_xlfn.XLOOKUP(C129,Products!A:A,Products!E:E)</f>
        <v>Rawalpindi</v>
      </c>
    </row>
    <row r="130" spans="1:14" x14ac:dyDescent="0.25">
      <c r="A130" t="s">
        <v>201</v>
      </c>
      <c r="B130" t="s">
        <v>81</v>
      </c>
      <c r="C130" t="s">
        <v>44</v>
      </c>
      <c r="D130">
        <v>1</v>
      </c>
      <c r="E130" s="1">
        <v>46177</v>
      </c>
      <c r="F130" t="s">
        <v>9</v>
      </c>
      <c r="G130" t="str">
        <f>VLOOKUP(C130,Products!A:E,2,0)</f>
        <v>Moisturizer</v>
      </c>
      <c r="H130" t="str">
        <f>VLOOKUP(C130,Products!A:E,3,0)</f>
        <v>Beauty</v>
      </c>
      <c r="I130">
        <f>VLOOKUP(C130,Products!A:E,4,0)</f>
        <v>25</v>
      </c>
      <c r="J130" t="str">
        <f>_xlfn.XLOOKUP(B130,Customers!A:A,Customers!B:B)</f>
        <v>Ahmed Khan</v>
      </c>
      <c r="K130" t="str">
        <f>_xlfn.XLOOKUP(B130,Customers!A:A,Customers!C:C)</f>
        <v>Karachi</v>
      </c>
      <c r="L130" t="str">
        <f>_xlfn.XLOOKUP(B130,Customers!A:A,Customers!D:D)</f>
        <v>Gold</v>
      </c>
      <c r="M130">
        <f t="shared" si="1"/>
        <v>25</v>
      </c>
      <c r="N130" t="str">
        <f>_xlfn.XLOOKUP(C130,Products!A:A,Products!E:E)</f>
        <v>Lahore</v>
      </c>
    </row>
    <row r="131" spans="1:14" x14ac:dyDescent="0.25">
      <c r="A131" t="s">
        <v>202</v>
      </c>
      <c r="B131" t="s">
        <v>83</v>
      </c>
      <c r="C131" t="s">
        <v>28</v>
      </c>
      <c r="D131">
        <v>4</v>
      </c>
      <c r="E131" s="1">
        <v>46177</v>
      </c>
      <c r="F131" t="s">
        <v>9</v>
      </c>
      <c r="G131" t="str">
        <f>VLOOKUP(C131,Products!A:E,2,0)</f>
        <v>Wireless Earbuds</v>
      </c>
      <c r="H131" t="str">
        <f>VLOOKUP(C131,Products!A:E,3,0)</f>
        <v>Electronics</v>
      </c>
      <c r="I131">
        <f>VLOOKUP(C131,Products!A:E,4,0)</f>
        <v>45</v>
      </c>
      <c r="J131" t="str">
        <f>_xlfn.XLOOKUP(B131,Customers!A:A,Customers!B:B)</f>
        <v>Junaid Alam</v>
      </c>
      <c r="K131" t="str">
        <f>_xlfn.XLOOKUP(B131,Customers!A:A,Customers!C:C)</f>
        <v>Lahore</v>
      </c>
      <c r="L131" t="str">
        <f>_xlfn.XLOOKUP(B131,Customers!A:A,Customers!D:D)</f>
        <v>Bronze</v>
      </c>
      <c r="M131">
        <f t="shared" ref="M131:M194" si="2">D131*I131</f>
        <v>180</v>
      </c>
      <c r="N131" t="str">
        <f>_xlfn.XLOOKUP(C131,Products!A:A,Products!E:E)</f>
        <v>Lahore</v>
      </c>
    </row>
    <row r="132" spans="1:14" x14ac:dyDescent="0.25">
      <c r="A132" t="s">
        <v>203</v>
      </c>
      <c r="B132" t="s">
        <v>85</v>
      </c>
      <c r="C132" t="s">
        <v>47</v>
      </c>
      <c r="D132">
        <v>1</v>
      </c>
      <c r="E132" s="1">
        <v>46178</v>
      </c>
      <c r="F132" t="s">
        <v>9</v>
      </c>
      <c r="G132" t="str">
        <f>VLOOKUP(C132,Products!A:E,2,0)</f>
        <v>Blender</v>
      </c>
      <c r="H132" t="str">
        <f>VLOOKUP(C132,Products!A:E,3,0)</f>
        <v>Home &amp; Kitchen</v>
      </c>
      <c r="I132">
        <f>VLOOKUP(C132,Products!A:E,4,0)</f>
        <v>120</v>
      </c>
      <c r="J132" t="str">
        <f>_xlfn.XLOOKUP(B132,Customers!A:A,Customers!B:B)</f>
        <v>Sobia Tariq</v>
      </c>
      <c r="K132" t="str">
        <f>_xlfn.XLOOKUP(B132,Customers!A:A,Customers!C:C)</f>
        <v>Lahore</v>
      </c>
      <c r="L132" t="str">
        <f>_xlfn.XLOOKUP(B132,Customers!A:A,Customers!D:D)</f>
        <v>Silver</v>
      </c>
      <c r="M132">
        <f t="shared" si="2"/>
        <v>120</v>
      </c>
      <c r="N132" t="str">
        <f>_xlfn.XLOOKUP(C132,Products!A:A,Products!E:E)</f>
        <v>Islamabad</v>
      </c>
    </row>
    <row r="133" spans="1:14" x14ac:dyDescent="0.25">
      <c r="A133" t="s">
        <v>204</v>
      </c>
      <c r="B133" t="s">
        <v>87</v>
      </c>
      <c r="C133" t="s">
        <v>8</v>
      </c>
      <c r="D133">
        <v>2</v>
      </c>
      <c r="E133" s="1">
        <v>46178</v>
      </c>
      <c r="F133" t="s">
        <v>9</v>
      </c>
      <c r="G133" t="str">
        <f>VLOOKUP(C133,Products!A:E,2,0)</f>
        <v>Laptop Stand</v>
      </c>
      <c r="H133" t="str">
        <f>VLOOKUP(C133,Products!A:E,3,0)</f>
        <v>Electronics</v>
      </c>
      <c r="I133">
        <f>VLOOKUP(C133,Products!A:E,4,0)</f>
        <v>40</v>
      </c>
      <c r="J133" t="str">
        <f>_xlfn.XLOOKUP(B133,Customers!A:A,Customers!B:B)</f>
        <v>Saad Butt</v>
      </c>
      <c r="K133" t="str">
        <f>_xlfn.XLOOKUP(B133,Customers!A:A,Customers!C:C)</f>
        <v>Islamabad</v>
      </c>
      <c r="L133" t="str">
        <f>_xlfn.XLOOKUP(B133,Customers!A:A,Customers!D:D)</f>
        <v>Gold</v>
      </c>
      <c r="M133">
        <f t="shared" si="2"/>
        <v>80</v>
      </c>
      <c r="N133" t="str">
        <f>_xlfn.XLOOKUP(C133,Products!A:A,Products!E:E)</f>
        <v>Rawalpindi</v>
      </c>
    </row>
    <row r="134" spans="1:14" x14ac:dyDescent="0.25">
      <c r="A134" t="s">
        <v>205</v>
      </c>
      <c r="B134" t="s">
        <v>89</v>
      </c>
      <c r="C134" t="s">
        <v>53</v>
      </c>
      <c r="D134">
        <v>3</v>
      </c>
      <c r="E134" s="1">
        <v>46179</v>
      </c>
      <c r="F134" t="s">
        <v>9</v>
      </c>
      <c r="G134" t="str">
        <f>VLOOKUP(C134,Products!A:E,2,0)</f>
        <v>Night Cream</v>
      </c>
      <c r="H134" t="str">
        <f>VLOOKUP(C134,Products!A:E,3,0)</f>
        <v>Beauty</v>
      </c>
      <c r="I134">
        <f>VLOOKUP(C134,Products!A:E,4,0)</f>
        <v>40</v>
      </c>
      <c r="J134" t="str">
        <f>_xlfn.XLOOKUP(B134,Customers!A:A,Customers!B:B)</f>
        <v>Mehwish Tariq</v>
      </c>
      <c r="K134" t="str">
        <f>_xlfn.XLOOKUP(B134,Customers!A:A,Customers!C:C)</f>
        <v>Faisalabad</v>
      </c>
      <c r="L134" t="str">
        <f>_xlfn.XLOOKUP(B134,Customers!A:A,Customers!D:D)</f>
        <v>Silver</v>
      </c>
      <c r="M134">
        <f t="shared" si="2"/>
        <v>120</v>
      </c>
      <c r="N134" t="str">
        <f>_xlfn.XLOOKUP(C134,Products!A:A,Products!E:E)</f>
        <v>Faisalabad</v>
      </c>
    </row>
    <row r="135" spans="1:14" x14ac:dyDescent="0.25">
      <c r="A135" t="s">
        <v>206</v>
      </c>
      <c r="B135" t="s">
        <v>91</v>
      </c>
      <c r="C135" t="s">
        <v>25</v>
      </c>
      <c r="D135">
        <v>1</v>
      </c>
      <c r="E135" s="1">
        <v>46179</v>
      </c>
      <c r="F135" t="s">
        <v>19</v>
      </c>
      <c r="G135" t="str">
        <f>VLOOKUP(C135,Products!A:E,2,0)</f>
        <v>Sunscreen</v>
      </c>
      <c r="H135" t="str">
        <f>VLOOKUP(C135,Products!A:E,3,0)</f>
        <v>Beauty</v>
      </c>
      <c r="I135">
        <f>VLOOKUP(C135,Products!A:E,4,0)</f>
        <v>15</v>
      </c>
      <c r="J135" t="str">
        <f>_xlfn.XLOOKUP(B135,Customers!A:A,Customers!B:B)</f>
        <v>Fatima Malik</v>
      </c>
      <c r="K135" t="str">
        <f>_xlfn.XLOOKUP(B135,Customers!A:A,Customers!C:C)</f>
        <v>Karachi</v>
      </c>
      <c r="L135" t="str">
        <f>_xlfn.XLOOKUP(B135,Customers!A:A,Customers!D:D)</f>
        <v>Gold</v>
      </c>
      <c r="M135">
        <f t="shared" si="2"/>
        <v>15</v>
      </c>
      <c r="N135" t="str">
        <f>_xlfn.XLOOKUP(C135,Products!A:A,Products!E:E)</f>
        <v>Karachi</v>
      </c>
    </row>
    <row r="136" spans="1:14" x14ac:dyDescent="0.25">
      <c r="A136" t="s">
        <v>207</v>
      </c>
      <c r="B136" t="s">
        <v>93</v>
      </c>
      <c r="C136" t="s">
        <v>50</v>
      </c>
      <c r="D136">
        <v>2</v>
      </c>
      <c r="E136" s="1">
        <v>46180</v>
      </c>
      <c r="F136" t="s">
        <v>9</v>
      </c>
      <c r="G136" t="str">
        <f>VLOOKUP(C136,Products!A:E,2,0)</f>
        <v>Bluetooth Speaker</v>
      </c>
      <c r="H136" t="str">
        <f>VLOOKUP(C136,Products!A:E,3,0)</f>
        <v>Electronics</v>
      </c>
      <c r="I136">
        <f>VLOOKUP(C136,Products!A:E,4,0)</f>
        <v>95</v>
      </c>
      <c r="J136" t="str">
        <f>_xlfn.XLOOKUP(B136,Customers!A:A,Customers!B:B)</f>
        <v>Asad Mahmood</v>
      </c>
      <c r="K136" t="str">
        <f>_xlfn.XLOOKUP(B136,Customers!A:A,Customers!C:C)</f>
        <v>Karachi</v>
      </c>
      <c r="L136" t="str">
        <f>_xlfn.XLOOKUP(B136,Customers!A:A,Customers!D:D)</f>
        <v>Silver</v>
      </c>
      <c r="M136">
        <f t="shared" si="2"/>
        <v>190</v>
      </c>
      <c r="N136" t="str">
        <f>_xlfn.XLOOKUP(C136,Products!A:A,Products!E:E)</f>
        <v>Karachi</v>
      </c>
    </row>
    <row r="137" spans="1:14" x14ac:dyDescent="0.25">
      <c r="A137" t="s">
        <v>208</v>
      </c>
      <c r="B137" t="s">
        <v>95</v>
      </c>
      <c r="C137" t="s">
        <v>18</v>
      </c>
      <c r="D137">
        <v>1</v>
      </c>
      <c r="E137" s="1">
        <v>46180</v>
      </c>
      <c r="F137" t="s">
        <v>9</v>
      </c>
      <c r="G137" t="str">
        <f>VLOOKUP(C137,Products!A:E,2,0)</f>
        <v>Hair Serum</v>
      </c>
      <c r="H137" t="str">
        <f>VLOOKUP(C137,Products!A:E,3,0)</f>
        <v>Beauty</v>
      </c>
      <c r="I137">
        <f>VLOOKUP(C137,Products!A:E,4,0)</f>
        <v>35</v>
      </c>
      <c r="J137" t="str">
        <f>_xlfn.XLOOKUP(B137,Customers!A:A,Customers!B:B)</f>
        <v>Taha Qureshi</v>
      </c>
      <c r="K137" t="str">
        <f>_xlfn.XLOOKUP(B137,Customers!A:A,Customers!C:C)</f>
        <v>Lahore</v>
      </c>
      <c r="L137" t="str">
        <f>_xlfn.XLOOKUP(B137,Customers!A:A,Customers!D:D)</f>
        <v>Gold</v>
      </c>
      <c r="M137">
        <f t="shared" si="2"/>
        <v>35</v>
      </c>
      <c r="N137" t="str">
        <f>_xlfn.XLOOKUP(C137,Products!A:A,Products!E:E)</f>
        <v>Islamabad</v>
      </c>
    </row>
    <row r="138" spans="1:14" x14ac:dyDescent="0.25">
      <c r="A138" t="s">
        <v>209</v>
      </c>
      <c r="B138" t="s">
        <v>97</v>
      </c>
      <c r="C138" t="s">
        <v>12</v>
      </c>
      <c r="D138">
        <v>3</v>
      </c>
      <c r="E138" s="1">
        <v>46181</v>
      </c>
      <c r="F138" t="s">
        <v>9</v>
      </c>
      <c r="G138" t="str">
        <f>VLOOKUP(C138,Products!A:E,2,0)</f>
        <v>Air Fryer</v>
      </c>
      <c r="H138" t="str">
        <f>VLOOKUP(C138,Products!A:E,3,0)</f>
        <v>Home &amp; Kitchen</v>
      </c>
      <c r="I138">
        <f>VLOOKUP(C138,Products!A:E,4,0)</f>
        <v>150</v>
      </c>
      <c r="J138" t="str">
        <f>_xlfn.XLOOKUP(B138,Customers!A:A,Customers!B:B)</f>
        <v>Nadia Qureshi</v>
      </c>
      <c r="K138" t="str">
        <f>_xlfn.XLOOKUP(B138,Customers!A:A,Customers!C:C)</f>
        <v>Lahore</v>
      </c>
      <c r="L138" t="str">
        <f>_xlfn.XLOOKUP(B138,Customers!A:A,Customers!D:D)</f>
        <v>Gold</v>
      </c>
      <c r="M138">
        <f t="shared" si="2"/>
        <v>450</v>
      </c>
      <c r="N138" t="str">
        <f>_xlfn.XLOOKUP(C138,Products!A:A,Products!E:E)</f>
        <v>Lahore</v>
      </c>
    </row>
    <row r="139" spans="1:14" x14ac:dyDescent="0.25">
      <c r="A139" t="s">
        <v>210</v>
      </c>
      <c r="B139" t="s">
        <v>99</v>
      </c>
      <c r="C139" t="s">
        <v>15</v>
      </c>
      <c r="D139">
        <v>2</v>
      </c>
      <c r="E139" s="1">
        <v>46181</v>
      </c>
      <c r="F139" t="s">
        <v>9</v>
      </c>
      <c r="G139" t="str">
        <f>VLOOKUP(C139,Products!A:E,2,0)</f>
        <v>Phone Case</v>
      </c>
      <c r="H139" t="str">
        <f>VLOOKUP(C139,Products!A:E,3,0)</f>
        <v>Electronics</v>
      </c>
      <c r="I139">
        <f>VLOOKUP(C139,Products!A:E,4,0)</f>
        <v>12</v>
      </c>
      <c r="J139" t="str">
        <f>_xlfn.XLOOKUP(B139,Customers!A:A,Customers!B:B)</f>
        <v>Maham Rizvi</v>
      </c>
      <c r="K139" t="str">
        <f>_xlfn.XLOOKUP(B139,Customers!A:A,Customers!C:C)</f>
        <v>Lahore</v>
      </c>
      <c r="L139" t="str">
        <f>_xlfn.XLOOKUP(B139,Customers!A:A,Customers!D:D)</f>
        <v>Silver</v>
      </c>
      <c r="M139">
        <f t="shared" si="2"/>
        <v>24</v>
      </c>
      <c r="N139" t="str">
        <f>_xlfn.XLOOKUP(C139,Products!A:A,Products!E:E)</f>
        <v>Islamabad</v>
      </c>
    </row>
    <row r="140" spans="1:14" x14ac:dyDescent="0.25">
      <c r="A140" t="s">
        <v>211</v>
      </c>
      <c r="B140" t="s">
        <v>101</v>
      </c>
      <c r="C140" t="s">
        <v>32</v>
      </c>
      <c r="D140">
        <v>1</v>
      </c>
      <c r="E140" s="1">
        <v>46182</v>
      </c>
      <c r="F140" t="s">
        <v>9</v>
      </c>
      <c r="G140" t="str">
        <f>VLOOKUP(C140,Products!A:E,2,0)</f>
        <v>Coffee Maker</v>
      </c>
      <c r="H140" t="str">
        <f>VLOOKUP(C140,Products!A:E,3,0)</f>
        <v>Home &amp; Kitchen</v>
      </c>
      <c r="I140">
        <f>VLOOKUP(C140,Products!A:E,4,0)</f>
        <v>110</v>
      </c>
      <c r="J140" t="str">
        <f>_xlfn.XLOOKUP(B140,Customers!A:A,Customers!B:B)</f>
        <v>Zubair Hassan</v>
      </c>
      <c r="K140" t="str">
        <f>_xlfn.XLOOKUP(B140,Customers!A:A,Customers!C:C)</f>
        <v>Rawalpindi</v>
      </c>
      <c r="L140" t="str">
        <f>_xlfn.XLOOKUP(B140,Customers!A:A,Customers!D:D)</f>
        <v>Gold</v>
      </c>
      <c r="M140">
        <f t="shared" si="2"/>
        <v>110</v>
      </c>
      <c r="N140" t="str">
        <f>_xlfn.XLOOKUP(C140,Products!A:A,Products!E:E)</f>
        <v>Karachi</v>
      </c>
    </row>
    <row r="141" spans="1:14" x14ac:dyDescent="0.25">
      <c r="A141" t="s">
        <v>212</v>
      </c>
      <c r="B141" t="s">
        <v>103</v>
      </c>
      <c r="C141" t="s">
        <v>35</v>
      </c>
      <c r="D141">
        <v>4</v>
      </c>
      <c r="E141" s="1">
        <v>46182</v>
      </c>
      <c r="F141" t="s">
        <v>9</v>
      </c>
      <c r="G141" t="str">
        <f>VLOOKUP(C141,Products!A:E,2,0)</f>
        <v>Face Serum</v>
      </c>
      <c r="H141" t="str">
        <f>VLOOKUP(C141,Products!A:E,3,0)</f>
        <v>Beauty</v>
      </c>
      <c r="I141">
        <f>VLOOKUP(C141,Products!A:E,4,0)</f>
        <v>30</v>
      </c>
      <c r="J141" t="str">
        <f>_xlfn.XLOOKUP(B141,Customers!A:A,Customers!B:B)</f>
        <v>Sundas Ali</v>
      </c>
      <c r="K141" t="str">
        <f>_xlfn.XLOOKUP(B141,Customers!A:A,Customers!C:C)</f>
        <v>Lahore</v>
      </c>
      <c r="L141" t="str">
        <f>_xlfn.XLOOKUP(B141,Customers!A:A,Customers!D:D)</f>
        <v>Gold</v>
      </c>
      <c r="M141">
        <f t="shared" si="2"/>
        <v>120</v>
      </c>
      <c r="N141" t="str">
        <f>_xlfn.XLOOKUP(C141,Products!A:A,Products!E:E)</f>
        <v>Lahore</v>
      </c>
    </row>
    <row r="142" spans="1:14" x14ac:dyDescent="0.25">
      <c r="A142" t="s">
        <v>213</v>
      </c>
      <c r="B142" t="s">
        <v>14</v>
      </c>
      <c r="C142" t="s">
        <v>38</v>
      </c>
      <c r="D142">
        <v>2</v>
      </c>
      <c r="E142" s="1">
        <v>46183</v>
      </c>
      <c r="F142" t="s">
        <v>9</v>
      </c>
      <c r="G142" t="str">
        <f>VLOOKUP(C142,Products!A:E,2,0)</f>
        <v>Rice Cooker</v>
      </c>
      <c r="H142" t="str">
        <f>VLOOKUP(C142,Products!A:E,3,0)</f>
        <v>Home &amp; Kitchen</v>
      </c>
      <c r="I142">
        <f>VLOOKUP(C142,Products!A:E,4,0)</f>
        <v>95</v>
      </c>
      <c r="J142" t="str">
        <f>_xlfn.XLOOKUP(B142,Customers!A:A,Customers!B:B)</f>
        <v>Omar Tariq</v>
      </c>
      <c r="K142" t="str">
        <f>_xlfn.XLOOKUP(B142,Customers!A:A,Customers!C:C)</f>
        <v>Karachi</v>
      </c>
      <c r="L142" t="str">
        <f>_xlfn.XLOOKUP(B142,Customers!A:A,Customers!D:D)</f>
        <v>Gold</v>
      </c>
      <c r="M142">
        <f t="shared" si="2"/>
        <v>190</v>
      </c>
      <c r="N142" t="str">
        <f>_xlfn.XLOOKUP(C142,Products!A:A,Products!E:E)</f>
        <v>Rawalpindi</v>
      </c>
    </row>
    <row r="143" spans="1:14" x14ac:dyDescent="0.25">
      <c r="A143" t="s">
        <v>214</v>
      </c>
      <c r="B143" t="s">
        <v>106</v>
      </c>
      <c r="C143" t="s">
        <v>44</v>
      </c>
      <c r="D143">
        <v>1</v>
      </c>
      <c r="E143" s="1">
        <v>46183</v>
      </c>
      <c r="F143" t="s">
        <v>9</v>
      </c>
      <c r="G143" t="str">
        <f>VLOOKUP(C143,Products!A:E,2,0)</f>
        <v>Moisturizer</v>
      </c>
      <c r="H143" t="str">
        <f>VLOOKUP(C143,Products!A:E,3,0)</f>
        <v>Beauty</v>
      </c>
      <c r="I143">
        <f>VLOOKUP(C143,Products!A:E,4,0)</f>
        <v>25</v>
      </c>
      <c r="J143" t="str">
        <f>_xlfn.XLOOKUP(B143,Customers!A:A,Customers!B:B)</f>
        <v>Ahmed Raza</v>
      </c>
      <c r="K143" t="str">
        <f>_xlfn.XLOOKUP(B143,Customers!A:A,Customers!C:C)</f>
        <v>Karachi</v>
      </c>
      <c r="L143" t="str">
        <f>_xlfn.XLOOKUP(B143,Customers!A:A,Customers!D:D)</f>
        <v>Bronze</v>
      </c>
      <c r="M143">
        <f t="shared" si="2"/>
        <v>25</v>
      </c>
      <c r="N143" t="str">
        <f>_xlfn.XLOOKUP(C143,Products!A:A,Products!E:E)</f>
        <v>Lahore</v>
      </c>
    </row>
    <row r="144" spans="1:14" x14ac:dyDescent="0.25">
      <c r="A144" t="s">
        <v>215</v>
      </c>
      <c r="B144" t="s">
        <v>108</v>
      </c>
      <c r="C144" t="s">
        <v>28</v>
      </c>
      <c r="D144">
        <v>3</v>
      </c>
      <c r="E144" s="1">
        <v>46184</v>
      </c>
      <c r="F144" t="s">
        <v>9</v>
      </c>
      <c r="G144" t="str">
        <f>VLOOKUP(C144,Products!A:E,2,0)</f>
        <v>Wireless Earbuds</v>
      </c>
      <c r="H144" t="str">
        <f>VLOOKUP(C144,Products!A:E,3,0)</f>
        <v>Electronics</v>
      </c>
      <c r="I144">
        <f>VLOOKUP(C144,Products!A:E,4,0)</f>
        <v>45</v>
      </c>
      <c r="J144" t="str">
        <f>_xlfn.XLOOKUP(B144,Customers!A:A,Customers!B:B)</f>
        <v>Rida Fatima</v>
      </c>
      <c r="K144" t="str">
        <f>_xlfn.XLOOKUP(B144,Customers!A:A,Customers!C:C)</f>
        <v>Rawalpindi</v>
      </c>
      <c r="L144" t="str">
        <f>_xlfn.XLOOKUP(B144,Customers!A:A,Customers!D:D)</f>
        <v>Silver</v>
      </c>
      <c r="M144">
        <f t="shared" si="2"/>
        <v>135</v>
      </c>
      <c r="N144" t="str">
        <f>_xlfn.XLOOKUP(C144,Products!A:A,Products!E:E)</f>
        <v>Lahore</v>
      </c>
    </row>
    <row r="145" spans="1:14" x14ac:dyDescent="0.25">
      <c r="A145" t="s">
        <v>216</v>
      </c>
      <c r="B145" t="s">
        <v>110</v>
      </c>
      <c r="C145" t="s">
        <v>47</v>
      </c>
      <c r="D145">
        <v>1</v>
      </c>
      <c r="E145" s="1">
        <v>46184</v>
      </c>
      <c r="F145" t="s">
        <v>29</v>
      </c>
      <c r="G145" t="str">
        <f>VLOOKUP(C145,Products!A:E,2,0)</f>
        <v>Blender</v>
      </c>
      <c r="H145" t="str">
        <f>VLOOKUP(C145,Products!A:E,3,0)</f>
        <v>Home &amp; Kitchen</v>
      </c>
      <c r="I145">
        <f>VLOOKUP(C145,Products!A:E,4,0)</f>
        <v>120</v>
      </c>
      <c r="J145" t="str">
        <f>_xlfn.XLOOKUP(B145,Customers!A:A,Customers!B:B)</f>
        <v>Usman Sheikh</v>
      </c>
      <c r="K145" t="str">
        <f>_xlfn.XLOOKUP(B145,Customers!A:A,Customers!C:C)</f>
        <v>Rawalpindi</v>
      </c>
      <c r="L145" t="str">
        <f>_xlfn.XLOOKUP(B145,Customers!A:A,Customers!D:D)</f>
        <v>Silver</v>
      </c>
      <c r="M145">
        <f t="shared" si="2"/>
        <v>120</v>
      </c>
      <c r="N145" t="str">
        <f>_xlfn.XLOOKUP(C145,Products!A:A,Products!E:E)</f>
        <v>Islamabad</v>
      </c>
    </row>
    <row r="146" spans="1:14" x14ac:dyDescent="0.25">
      <c r="A146" t="s">
        <v>217</v>
      </c>
      <c r="B146" t="s">
        <v>112</v>
      </c>
      <c r="C146" t="s">
        <v>8</v>
      </c>
      <c r="D146">
        <v>2</v>
      </c>
      <c r="E146" s="1">
        <v>46185</v>
      </c>
      <c r="F146" t="s">
        <v>9</v>
      </c>
      <c r="G146" t="str">
        <f>VLOOKUP(C146,Products!A:E,2,0)</f>
        <v>Laptop Stand</v>
      </c>
      <c r="H146" t="str">
        <f>VLOOKUP(C146,Products!A:E,3,0)</f>
        <v>Electronics</v>
      </c>
      <c r="I146">
        <f>VLOOKUP(C146,Products!A:E,4,0)</f>
        <v>40</v>
      </c>
      <c r="J146" t="str">
        <f>_xlfn.XLOOKUP(B146,Customers!A:A,Customers!B:B)</f>
        <v>Hira Baig</v>
      </c>
      <c r="K146" t="str">
        <f>_xlfn.XLOOKUP(B146,Customers!A:A,Customers!C:C)</f>
        <v>Rawalpindi</v>
      </c>
      <c r="L146" t="str">
        <f>_xlfn.XLOOKUP(B146,Customers!A:A,Customers!D:D)</f>
        <v>Bronze</v>
      </c>
      <c r="M146">
        <f t="shared" si="2"/>
        <v>80</v>
      </c>
      <c r="N146" t="str">
        <f>_xlfn.XLOOKUP(C146,Products!A:A,Products!E:E)</f>
        <v>Rawalpindi</v>
      </c>
    </row>
    <row r="147" spans="1:14" x14ac:dyDescent="0.25">
      <c r="A147" t="s">
        <v>218</v>
      </c>
      <c r="B147" t="s">
        <v>114</v>
      </c>
      <c r="C147" t="s">
        <v>53</v>
      </c>
      <c r="D147">
        <v>1</v>
      </c>
      <c r="E147" s="1">
        <v>46185</v>
      </c>
      <c r="F147" t="s">
        <v>9</v>
      </c>
      <c r="G147" t="str">
        <f>VLOOKUP(C147,Products!A:E,2,0)</f>
        <v>Night Cream</v>
      </c>
      <c r="H147" t="str">
        <f>VLOOKUP(C147,Products!A:E,3,0)</f>
        <v>Beauty</v>
      </c>
      <c r="I147">
        <f>VLOOKUP(C147,Products!A:E,4,0)</f>
        <v>40</v>
      </c>
      <c r="J147" t="str">
        <f>_xlfn.XLOOKUP(B147,Customers!A:A,Customers!B:B)</f>
        <v>Hassan Butt</v>
      </c>
      <c r="K147" t="str">
        <f>_xlfn.XLOOKUP(B147,Customers!A:A,Customers!C:C)</f>
        <v>Lahore</v>
      </c>
      <c r="L147" t="str">
        <f>_xlfn.XLOOKUP(B147,Customers!A:A,Customers!D:D)</f>
        <v>Gold</v>
      </c>
      <c r="M147">
        <f t="shared" si="2"/>
        <v>40</v>
      </c>
      <c r="N147" t="str">
        <f>_xlfn.XLOOKUP(C147,Products!A:A,Products!E:E)</f>
        <v>Faisalabad</v>
      </c>
    </row>
    <row r="148" spans="1:14" x14ac:dyDescent="0.25">
      <c r="A148" t="s">
        <v>219</v>
      </c>
      <c r="B148" t="s">
        <v>116</v>
      </c>
      <c r="C148" t="s">
        <v>25</v>
      </c>
      <c r="D148">
        <v>3</v>
      </c>
      <c r="E148" s="1">
        <v>46186</v>
      </c>
      <c r="F148" t="s">
        <v>9</v>
      </c>
      <c r="G148" t="str">
        <f>VLOOKUP(C148,Products!A:E,2,0)</f>
        <v>Sunscreen</v>
      </c>
      <c r="H148" t="str">
        <f>VLOOKUP(C148,Products!A:E,3,0)</f>
        <v>Beauty</v>
      </c>
      <c r="I148">
        <f>VLOOKUP(C148,Products!A:E,4,0)</f>
        <v>15</v>
      </c>
      <c r="J148" t="str">
        <f>_xlfn.XLOOKUP(B148,Customers!A:A,Customers!B:B)</f>
        <v>Danish Khan</v>
      </c>
      <c r="K148" t="str">
        <f>_xlfn.XLOOKUP(B148,Customers!A:A,Customers!C:C)</f>
        <v>Faisalabad</v>
      </c>
      <c r="L148" t="str">
        <f>_xlfn.XLOOKUP(B148,Customers!A:A,Customers!D:D)</f>
        <v>Silver</v>
      </c>
      <c r="M148">
        <f t="shared" si="2"/>
        <v>45</v>
      </c>
      <c r="N148" t="str">
        <f>_xlfn.XLOOKUP(C148,Products!A:A,Products!E:E)</f>
        <v>Karachi</v>
      </c>
    </row>
    <row r="149" spans="1:14" x14ac:dyDescent="0.25">
      <c r="A149" t="s">
        <v>220</v>
      </c>
      <c r="B149" t="s">
        <v>118</v>
      </c>
      <c r="C149" t="s">
        <v>50</v>
      </c>
      <c r="D149">
        <v>2</v>
      </c>
      <c r="E149" s="1">
        <v>46186</v>
      </c>
      <c r="F149" t="s">
        <v>9</v>
      </c>
      <c r="G149" t="str">
        <f>VLOOKUP(C149,Products!A:E,2,0)</f>
        <v>Bluetooth Speaker</v>
      </c>
      <c r="H149" t="str">
        <f>VLOOKUP(C149,Products!A:E,3,0)</f>
        <v>Electronics</v>
      </c>
      <c r="I149">
        <f>VLOOKUP(C149,Products!A:E,4,0)</f>
        <v>95</v>
      </c>
      <c r="J149" t="str">
        <f>_xlfn.XLOOKUP(B149,Customers!A:A,Customers!B:B)</f>
        <v>Yusuf Khan</v>
      </c>
      <c r="K149" t="str">
        <f>_xlfn.XLOOKUP(B149,Customers!A:A,Customers!C:C)</f>
        <v>Islamabad</v>
      </c>
      <c r="L149" t="str">
        <f>_xlfn.XLOOKUP(B149,Customers!A:A,Customers!D:D)</f>
        <v>Silver</v>
      </c>
      <c r="M149">
        <f t="shared" si="2"/>
        <v>190</v>
      </c>
      <c r="N149" t="str">
        <f>_xlfn.XLOOKUP(C149,Products!A:A,Products!E:E)</f>
        <v>Karachi</v>
      </c>
    </row>
    <row r="150" spans="1:14" x14ac:dyDescent="0.25">
      <c r="A150" t="s">
        <v>221</v>
      </c>
      <c r="B150" t="s">
        <v>120</v>
      </c>
      <c r="C150" t="s">
        <v>18</v>
      </c>
      <c r="D150">
        <v>1</v>
      </c>
      <c r="E150" s="1">
        <v>46187</v>
      </c>
      <c r="F150" t="s">
        <v>9</v>
      </c>
      <c r="G150" t="str">
        <f>VLOOKUP(C150,Products!A:E,2,0)</f>
        <v>Hair Serum</v>
      </c>
      <c r="H150" t="str">
        <f>VLOOKUP(C150,Products!A:E,3,0)</f>
        <v>Beauty</v>
      </c>
      <c r="I150">
        <f>VLOOKUP(C150,Products!A:E,4,0)</f>
        <v>35</v>
      </c>
      <c r="J150" t="str">
        <f>_xlfn.XLOOKUP(B150,Customers!A:A,Customers!B:B)</f>
        <v>Lubna Shah</v>
      </c>
      <c r="K150" t="str">
        <f>_xlfn.XLOOKUP(B150,Customers!A:A,Customers!C:C)</f>
        <v>Karachi</v>
      </c>
      <c r="L150" t="str">
        <f>_xlfn.XLOOKUP(B150,Customers!A:A,Customers!D:D)</f>
        <v>Silver</v>
      </c>
      <c r="M150">
        <f t="shared" si="2"/>
        <v>35</v>
      </c>
      <c r="N150" t="str">
        <f>_xlfn.XLOOKUP(C150,Products!A:A,Products!E:E)</f>
        <v>Islamabad</v>
      </c>
    </row>
    <row r="151" spans="1:14" x14ac:dyDescent="0.25">
      <c r="A151" t="s">
        <v>222</v>
      </c>
      <c r="B151" t="s">
        <v>122</v>
      </c>
      <c r="C151" t="s">
        <v>12</v>
      </c>
      <c r="D151">
        <v>4</v>
      </c>
      <c r="E151" s="1">
        <v>46187</v>
      </c>
      <c r="F151" t="s">
        <v>9</v>
      </c>
      <c r="G151" t="str">
        <f>VLOOKUP(C151,Products!A:E,2,0)</f>
        <v>Air Fryer</v>
      </c>
      <c r="H151" t="str">
        <f>VLOOKUP(C151,Products!A:E,3,0)</f>
        <v>Home &amp; Kitchen</v>
      </c>
      <c r="I151">
        <f>VLOOKUP(C151,Products!A:E,4,0)</f>
        <v>150</v>
      </c>
      <c r="J151" t="str">
        <f>_xlfn.XLOOKUP(B151,Customers!A:A,Customers!B:B)</f>
        <v>Zeeshan Malik</v>
      </c>
      <c r="K151" t="str">
        <f>_xlfn.XLOOKUP(B151,Customers!A:A,Customers!C:C)</f>
        <v>Karachi</v>
      </c>
      <c r="L151" t="str">
        <f>_xlfn.XLOOKUP(B151,Customers!A:A,Customers!D:D)</f>
        <v>Gold</v>
      </c>
      <c r="M151">
        <f t="shared" si="2"/>
        <v>600</v>
      </c>
      <c r="N151" t="str">
        <f>_xlfn.XLOOKUP(C151,Products!A:A,Products!E:E)</f>
        <v>Lahore</v>
      </c>
    </row>
    <row r="152" spans="1:14" x14ac:dyDescent="0.25">
      <c r="A152" t="s">
        <v>223</v>
      </c>
      <c r="B152" t="s">
        <v>7</v>
      </c>
      <c r="C152" t="s">
        <v>15</v>
      </c>
      <c r="D152">
        <v>2</v>
      </c>
      <c r="E152" s="1">
        <v>46188</v>
      </c>
      <c r="F152" t="s">
        <v>9</v>
      </c>
      <c r="G152" t="str">
        <f>VLOOKUP(C152,Products!A:E,2,0)</f>
        <v>Phone Case</v>
      </c>
      <c r="H152" t="str">
        <f>VLOOKUP(C152,Products!A:E,3,0)</f>
        <v>Electronics</v>
      </c>
      <c r="I152">
        <f>VLOOKUP(C152,Products!A:E,4,0)</f>
        <v>12</v>
      </c>
      <c r="J152" t="str">
        <f>_xlfn.XLOOKUP(B152,Customers!A:A,Customers!B:B)</f>
        <v>Mariam Javed</v>
      </c>
      <c r="K152" t="str">
        <f>_xlfn.XLOOKUP(B152,Customers!A:A,Customers!C:C)</f>
        <v>Rawalpindi</v>
      </c>
      <c r="L152" t="str">
        <f>_xlfn.XLOOKUP(B152,Customers!A:A,Customers!D:D)</f>
        <v>Bronze</v>
      </c>
      <c r="M152">
        <f t="shared" si="2"/>
        <v>24</v>
      </c>
      <c r="N152" t="str">
        <f>_xlfn.XLOOKUP(C152,Products!A:A,Products!E:E)</f>
        <v>Islamabad</v>
      </c>
    </row>
    <row r="153" spans="1:14" x14ac:dyDescent="0.25">
      <c r="A153" t="s">
        <v>224</v>
      </c>
      <c r="B153" t="s">
        <v>11</v>
      </c>
      <c r="C153" t="s">
        <v>32</v>
      </c>
      <c r="D153">
        <v>1</v>
      </c>
      <c r="E153" s="1">
        <v>46188</v>
      </c>
      <c r="F153" t="s">
        <v>19</v>
      </c>
      <c r="G153" t="str">
        <f>VLOOKUP(C153,Products!A:E,2,0)</f>
        <v>Coffee Maker</v>
      </c>
      <c r="H153" t="str">
        <f>VLOOKUP(C153,Products!A:E,3,0)</f>
        <v>Home &amp; Kitchen</v>
      </c>
      <c r="I153">
        <f>VLOOKUP(C153,Products!A:E,4,0)</f>
        <v>110</v>
      </c>
      <c r="J153" t="str">
        <f>_xlfn.XLOOKUP(B153,Customers!A:A,Customers!B:B)</f>
        <v>Rabia Tariq</v>
      </c>
      <c r="K153" t="str">
        <f>_xlfn.XLOOKUP(B153,Customers!A:A,Customers!C:C)</f>
        <v>Karachi</v>
      </c>
      <c r="L153" t="str">
        <f>_xlfn.XLOOKUP(B153,Customers!A:A,Customers!D:D)</f>
        <v>Gold</v>
      </c>
      <c r="M153">
        <f t="shared" si="2"/>
        <v>110</v>
      </c>
      <c r="N153" t="str">
        <f>_xlfn.XLOOKUP(C153,Products!A:A,Products!E:E)</f>
        <v>Karachi</v>
      </c>
    </row>
    <row r="154" spans="1:14" x14ac:dyDescent="0.25">
      <c r="A154" t="s">
        <v>225</v>
      </c>
      <c r="B154" t="s">
        <v>14</v>
      </c>
      <c r="C154" t="s">
        <v>35</v>
      </c>
      <c r="D154">
        <v>3</v>
      </c>
      <c r="E154" s="1">
        <v>46189</v>
      </c>
      <c r="F154" t="s">
        <v>9</v>
      </c>
      <c r="G154" t="str">
        <f>VLOOKUP(C154,Products!A:E,2,0)</f>
        <v>Face Serum</v>
      </c>
      <c r="H154" t="str">
        <f>VLOOKUP(C154,Products!A:E,3,0)</f>
        <v>Beauty</v>
      </c>
      <c r="I154">
        <f>VLOOKUP(C154,Products!A:E,4,0)</f>
        <v>30</v>
      </c>
      <c r="J154" t="str">
        <f>_xlfn.XLOOKUP(B154,Customers!A:A,Customers!B:B)</f>
        <v>Omar Tariq</v>
      </c>
      <c r="K154" t="str">
        <f>_xlfn.XLOOKUP(B154,Customers!A:A,Customers!C:C)</f>
        <v>Karachi</v>
      </c>
      <c r="L154" t="str">
        <f>_xlfn.XLOOKUP(B154,Customers!A:A,Customers!D:D)</f>
        <v>Gold</v>
      </c>
      <c r="M154">
        <f t="shared" si="2"/>
        <v>90</v>
      </c>
      <c r="N154" t="str">
        <f>_xlfn.XLOOKUP(C154,Products!A:A,Products!E:E)</f>
        <v>Lahore</v>
      </c>
    </row>
    <row r="155" spans="1:14" x14ac:dyDescent="0.25">
      <c r="A155" t="s">
        <v>226</v>
      </c>
      <c r="B155" t="s">
        <v>17</v>
      </c>
      <c r="C155" t="s">
        <v>38</v>
      </c>
      <c r="D155">
        <v>2</v>
      </c>
      <c r="E155" s="1">
        <v>46189</v>
      </c>
      <c r="F155" t="s">
        <v>9</v>
      </c>
      <c r="G155" t="str">
        <f>VLOOKUP(C155,Products!A:E,2,0)</f>
        <v>Rice Cooker</v>
      </c>
      <c r="H155" t="str">
        <f>VLOOKUP(C155,Products!A:E,3,0)</f>
        <v>Home &amp; Kitchen</v>
      </c>
      <c r="I155">
        <f>VLOOKUP(C155,Products!A:E,4,0)</f>
        <v>95</v>
      </c>
      <c r="J155" t="str">
        <f>_xlfn.XLOOKUP(B155,Customers!A:A,Customers!B:B)</f>
        <v>Faisal Chaudhry</v>
      </c>
      <c r="K155" t="str">
        <f>_xlfn.XLOOKUP(B155,Customers!A:A,Customers!C:C)</f>
        <v>Islamabad</v>
      </c>
      <c r="L155" t="str">
        <f>_xlfn.XLOOKUP(B155,Customers!A:A,Customers!D:D)</f>
        <v>Bronze</v>
      </c>
      <c r="M155">
        <f t="shared" si="2"/>
        <v>190</v>
      </c>
      <c r="N155" t="str">
        <f>_xlfn.XLOOKUP(C155,Products!A:A,Products!E:E)</f>
        <v>Rawalpindi</v>
      </c>
    </row>
    <row r="156" spans="1:14" x14ac:dyDescent="0.25">
      <c r="A156" t="s">
        <v>227</v>
      </c>
      <c r="B156" t="s">
        <v>21</v>
      </c>
      <c r="C156" t="s">
        <v>44</v>
      </c>
      <c r="D156">
        <v>1</v>
      </c>
      <c r="E156" s="1">
        <v>46190</v>
      </c>
      <c r="F156" t="s">
        <v>9</v>
      </c>
      <c r="G156" t="str">
        <f>VLOOKUP(C156,Products!A:E,2,0)</f>
        <v>Moisturizer</v>
      </c>
      <c r="H156" t="str">
        <f>VLOOKUP(C156,Products!A:E,3,0)</f>
        <v>Beauty</v>
      </c>
      <c r="I156">
        <f>VLOOKUP(C156,Products!A:E,4,0)</f>
        <v>25</v>
      </c>
      <c r="J156" t="str">
        <f>_xlfn.XLOOKUP(B156,Customers!A:A,Customers!B:B)</f>
        <v>Maryam Shah</v>
      </c>
      <c r="K156" t="str">
        <f>_xlfn.XLOOKUP(B156,Customers!A:A,Customers!C:C)</f>
        <v>Karachi</v>
      </c>
      <c r="L156" t="str">
        <f>_xlfn.XLOOKUP(B156,Customers!A:A,Customers!D:D)</f>
        <v>Bronze</v>
      </c>
      <c r="M156">
        <f t="shared" si="2"/>
        <v>25</v>
      </c>
      <c r="N156" t="str">
        <f>_xlfn.XLOOKUP(C156,Products!A:A,Products!E:E)</f>
        <v>Lahore</v>
      </c>
    </row>
    <row r="157" spans="1:14" x14ac:dyDescent="0.25">
      <c r="A157" t="s">
        <v>228</v>
      </c>
      <c r="B157" t="s">
        <v>24</v>
      </c>
      <c r="C157" t="s">
        <v>28</v>
      </c>
      <c r="D157">
        <v>4</v>
      </c>
      <c r="E157" s="1">
        <v>46190</v>
      </c>
      <c r="F157" t="s">
        <v>9</v>
      </c>
      <c r="G157" t="str">
        <f>VLOOKUP(C157,Products!A:E,2,0)</f>
        <v>Wireless Earbuds</v>
      </c>
      <c r="H157" t="str">
        <f>VLOOKUP(C157,Products!A:E,3,0)</f>
        <v>Electronics</v>
      </c>
      <c r="I157">
        <f>VLOOKUP(C157,Products!A:E,4,0)</f>
        <v>45</v>
      </c>
      <c r="J157" t="str">
        <f>_xlfn.XLOOKUP(B157,Customers!A:A,Customers!B:B)</f>
        <v>Bilal Raza</v>
      </c>
      <c r="K157" t="str">
        <f>_xlfn.XLOOKUP(B157,Customers!A:A,Customers!C:C)</f>
        <v>Islamabad</v>
      </c>
      <c r="L157" t="str">
        <f>_xlfn.XLOOKUP(B157,Customers!A:A,Customers!D:D)</f>
        <v>Bronze</v>
      </c>
      <c r="M157">
        <f t="shared" si="2"/>
        <v>180</v>
      </c>
      <c r="N157" t="str">
        <f>_xlfn.XLOOKUP(C157,Products!A:A,Products!E:E)</f>
        <v>Lahore</v>
      </c>
    </row>
    <row r="158" spans="1:14" x14ac:dyDescent="0.25">
      <c r="A158" t="s">
        <v>229</v>
      </c>
      <c r="B158" t="s">
        <v>27</v>
      </c>
      <c r="C158" t="s">
        <v>47</v>
      </c>
      <c r="D158">
        <v>2</v>
      </c>
      <c r="E158" s="1">
        <v>46191</v>
      </c>
      <c r="F158" t="s">
        <v>9</v>
      </c>
      <c r="G158" t="str">
        <f>VLOOKUP(C158,Products!A:E,2,0)</f>
        <v>Blender</v>
      </c>
      <c r="H158" t="str">
        <f>VLOOKUP(C158,Products!A:E,3,0)</f>
        <v>Home &amp; Kitchen</v>
      </c>
      <c r="I158">
        <f>VLOOKUP(C158,Products!A:E,4,0)</f>
        <v>120</v>
      </c>
      <c r="J158" t="str">
        <f>_xlfn.XLOOKUP(B158,Customers!A:A,Customers!B:B)</f>
        <v>Amna Rizvi</v>
      </c>
      <c r="K158" t="str">
        <f>_xlfn.XLOOKUP(B158,Customers!A:A,Customers!C:C)</f>
        <v>Lahore</v>
      </c>
      <c r="L158" t="str">
        <f>_xlfn.XLOOKUP(B158,Customers!A:A,Customers!D:D)</f>
        <v>Bronze</v>
      </c>
      <c r="M158">
        <f t="shared" si="2"/>
        <v>240</v>
      </c>
      <c r="N158" t="str">
        <f>_xlfn.XLOOKUP(C158,Products!A:A,Products!E:E)</f>
        <v>Islamabad</v>
      </c>
    </row>
    <row r="159" spans="1:14" x14ac:dyDescent="0.25">
      <c r="A159" t="s">
        <v>230</v>
      </c>
      <c r="B159" t="s">
        <v>31</v>
      </c>
      <c r="C159" t="s">
        <v>8</v>
      </c>
      <c r="D159">
        <v>1</v>
      </c>
      <c r="E159" s="1">
        <v>46191</v>
      </c>
      <c r="F159" t="s">
        <v>9</v>
      </c>
      <c r="G159" t="str">
        <f>VLOOKUP(C159,Products!A:E,2,0)</f>
        <v>Laptop Stand</v>
      </c>
      <c r="H159" t="str">
        <f>VLOOKUP(C159,Products!A:E,3,0)</f>
        <v>Electronics</v>
      </c>
      <c r="I159">
        <f>VLOOKUP(C159,Products!A:E,4,0)</f>
        <v>40</v>
      </c>
      <c r="J159" t="str">
        <f>_xlfn.XLOOKUP(B159,Customers!A:A,Customers!B:B)</f>
        <v>Sana Malik</v>
      </c>
      <c r="K159" t="str">
        <f>_xlfn.XLOOKUP(B159,Customers!A:A,Customers!C:C)</f>
        <v>Lahore</v>
      </c>
      <c r="L159" t="str">
        <f>_xlfn.XLOOKUP(B159,Customers!A:A,Customers!D:D)</f>
        <v>Silver</v>
      </c>
      <c r="M159">
        <f t="shared" si="2"/>
        <v>40</v>
      </c>
      <c r="N159" t="str">
        <f>_xlfn.XLOOKUP(C159,Products!A:A,Products!E:E)</f>
        <v>Rawalpindi</v>
      </c>
    </row>
    <row r="160" spans="1:14" x14ac:dyDescent="0.25">
      <c r="A160" t="s">
        <v>231</v>
      </c>
      <c r="B160" t="s">
        <v>34</v>
      </c>
      <c r="C160" t="s">
        <v>53</v>
      </c>
      <c r="D160">
        <v>3</v>
      </c>
      <c r="E160" s="1">
        <v>46192</v>
      </c>
      <c r="F160" t="s">
        <v>9</v>
      </c>
      <c r="G160" t="str">
        <f>VLOOKUP(C160,Products!A:E,2,0)</f>
        <v>Night Cream</v>
      </c>
      <c r="H160" t="str">
        <f>VLOOKUP(C160,Products!A:E,3,0)</f>
        <v>Beauty</v>
      </c>
      <c r="I160">
        <f>VLOOKUP(C160,Products!A:E,4,0)</f>
        <v>40</v>
      </c>
      <c r="J160" t="str">
        <f>_xlfn.XLOOKUP(B160,Customers!A:A,Customers!B:B)</f>
        <v>Farah Noor</v>
      </c>
      <c r="K160" t="str">
        <f>_xlfn.XLOOKUP(B160,Customers!A:A,Customers!C:C)</f>
        <v>Karachi</v>
      </c>
      <c r="L160" t="str">
        <f>_xlfn.XLOOKUP(B160,Customers!A:A,Customers!D:D)</f>
        <v>Silver</v>
      </c>
      <c r="M160">
        <f t="shared" si="2"/>
        <v>120</v>
      </c>
      <c r="N160" t="str">
        <f>_xlfn.XLOOKUP(C160,Products!A:A,Products!E:E)</f>
        <v>Faisalabad</v>
      </c>
    </row>
    <row r="161" spans="1:14" x14ac:dyDescent="0.25">
      <c r="A161" t="s">
        <v>232</v>
      </c>
      <c r="B161" t="s">
        <v>37</v>
      </c>
      <c r="C161" t="s">
        <v>25</v>
      </c>
      <c r="D161">
        <v>2</v>
      </c>
      <c r="E161" s="1">
        <v>46192</v>
      </c>
      <c r="F161" t="s">
        <v>19</v>
      </c>
      <c r="G161" t="str">
        <f>VLOOKUP(C161,Products!A:E,2,0)</f>
        <v>Sunscreen</v>
      </c>
      <c r="H161" t="str">
        <f>VLOOKUP(C161,Products!A:E,3,0)</f>
        <v>Beauty</v>
      </c>
      <c r="I161">
        <f>VLOOKUP(C161,Products!A:E,4,0)</f>
        <v>15</v>
      </c>
      <c r="J161" t="str">
        <f>_xlfn.XLOOKUP(B161,Customers!A:A,Customers!B:B)</f>
        <v>Talha Mirza</v>
      </c>
      <c r="K161" t="str">
        <f>_xlfn.XLOOKUP(B161,Customers!A:A,Customers!C:C)</f>
        <v>Lahore</v>
      </c>
      <c r="L161" t="str">
        <f>_xlfn.XLOOKUP(B161,Customers!A:A,Customers!D:D)</f>
        <v>Bronze</v>
      </c>
      <c r="M161">
        <f t="shared" si="2"/>
        <v>30</v>
      </c>
      <c r="N161" t="str">
        <f>_xlfn.XLOOKUP(C161,Products!A:A,Products!E:E)</f>
        <v>Karachi</v>
      </c>
    </row>
    <row r="162" spans="1:14" x14ac:dyDescent="0.25">
      <c r="A162" t="s">
        <v>233</v>
      </c>
      <c r="B162" t="s">
        <v>40</v>
      </c>
      <c r="C162" t="s">
        <v>50</v>
      </c>
      <c r="D162">
        <v>1</v>
      </c>
      <c r="E162" s="1">
        <v>46193</v>
      </c>
      <c r="F162" t="s">
        <v>9</v>
      </c>
      <c r="G162" t="str">
        <f>VLOOKUP(C162,Products!A:E,2,0)</f>
        <v>Bluetooth Speaker</v>
      </c>
      <c r="H162" t="str">
        <f>VLOOKUP(C162,Products!A:E,3,0)</f>
        <v>Electronics</v>
      </c>
      <c r="I162">
        <f>VLOOKUP(C162,Products!A:E,4,0)</f>
        <v>95</v>
      </c>
      <c r="J162" t="str">
        <f>_xlfn.XLOOKUP(B162,Customers!A:A,Customers!B:B)</f>
        <v>Ayesha Siddiqui</v>
      </c>
      <c r="K162" t="str">
        <f>_xlfn.XLOOKUP(B162,Customers!A:A,Customers!C:C)</f>
        <v>Islamabad</v>
      </c>
      <c r="L162" t="str">
        <f>_xlfn.XLOOKUP(B162,Customers!A:A,Customers!D:D)</f>
        <v>Silver</v>
      </c>
      <c r="M162">
        <f t="shared" si="2"/>
        <v>95</v>
      </c>
      <c r="N162" t="str">
        <f>_xlfn.XLOOKUP(C162,Products!A:A,Products!E:E)</f>
        <v>Karachi</v>
      </c>
    </row>
    <row r="163" spans="1:14" x14ac:dyDescent="0.25">
      <c r="A163" t="s">
        <v>234</v>
      </c>
      <c r="B163" t="s">
        <v>43</v>
      </c>
      <c r="C163" t="s">
        <v>18</v>
      </c>
      <c r="D163">
        <v>3</v>
      </c>
      <c r="E163" s="1">
        <v>46193</v>
      </c>
      <c r="F163" t="s">
        <v>9</v>
      </c>
      <c r="G163" t="str">
        <f>VLOOKUP(C163,Products!A:E,2,0)</f>
        <v>Hair Serum</v>
      </c>
      <c r="H163" t="str">
        <f>VLOOKUP(C163,Products!A:E,3,0)</f>
        <v>Beauty</v>
      </c>
      <c r="I163">
        <f>VLOOKUP(C163,Products!A:E,4,0)</f>
        <v>35</v>
      </c>
      <c r="J163" t="str">
        <f>_xlfn.XLOOKUP(B163,Customers!A:A,Customers!B:B)</f>
        <v>Ali Hussain</v>
      </c>
      <c r="K163" t="str">
        <f>_xlfn.XLOOKUP(B163,Customers!A:A,Customers!C:C)</f>
        <v>Karachi</v>
      </c>
      <c r="L163" t="str">
        <f>_xlfn.XLOOKUP(B163,Customers!A:A,Customers!D:D)</f>
        <v>Gold</v>
      </c>
      <c r="M163">
        <f t="shared" si="2"/>
        <v>105</v>
      </c>
      <c r="N163" t="str">
        <f>_xlfn.XLOOKUP(C163,Products!A:A,Products!E:E)</f>
        <v>Islamabad</v>
      </c>
    </row>
    <row r="164" spans="1:14" x14ac:dyDescent="0.25">
      <c r="A164" t="s">
        <v>235</v>
      </c>
      <c r="B164" t="s">
        <v>46</v>
      </c>
      <c r="C164" t="s">
        <v>12</v>
      </c>
      <c r="D164">
        <v>2</v>
      </c>
      <c r="E164" s="1">
        <v>46194</v>
      </c>
      <c r="F164" t="s">
        <v>9</v>
      </c>
      <c r="G164" t="str">
        <f>VLOOKUP(C164,Products!A:E,2,0)</f>
        <v>Air Fryer</v>
      </c>
      <c r="H164" t="str">
        <f>VLOOKUP(C164,Products!A:E,3,0)</f>
        <v>Home &amp; Kitchen</v>
      </c>
      <c r="I164">
        <f>VLOOKUP(C164,Products!A:E,4,0)</f>
        <v>150</v>
      </c>
      <c r="J164" t="str">
        <f>_xlfn.XLOOKUP(B164,Customers!A:A,Customers!B:B)</f>
        <v>Noor Fatima</v>
      </c>
      <c r="K164" t="str">
        <f>_xlfn.XLOOKUP(B164,Customers!A:A,Customers!C:C)</f>
        <v>Lahore</v>
      </c>
      <c r="L164" t="str">
        <f>_xlfn.XLOOKUP(B164,Customers!A:A,Customers!D:D)</f>
        <v>Gold</v>
      </c>
      <c r="M164">
        <f t="shared" si="2"/>
        <v>300</v>
      </c>
      <c r="N164" t="str">
        <f>_xlfn.XLOOKUP(C164,Products!A:A,Products!E:E)</f>
        <v>Lahore</v>
      </c>
    </row>
    <row r="165" spans="1:14" x14ac:dyDescent="0.25">
      <c r="A165" t="s">
        <v>236</v>
      </c>
      <c r="B165" t="s">
        <v>49</v>
      </c>
      <c r="C165" t="s">
        <v>15</v>
      </c>
      <c r="D165">
        <v>1</v>
      </c>
      <c r="E165" s="1">
        <v>46194</v>
      </c>
      <c r="F165" t="s">
        <v>9</v>
      </c>
      <c r="G165" t="str">
        <f>VLOOKUP(C165,Products!A:E,2,0)</f>
        <v>Phone Case</v>
      </c>
      <c r="H165" t="str">
        <f>VLOOKUP(C165,Products!A:E,3,0)</f>
        <v>Electronics</v>
      </c>
      <c r="I165">
        <f>VLOOKUP(C165,Products!A:E,4,0)</f>
        <v>12</v>
      </c>
      <c r="J165" t="str">
        <f>_xlfn.XLOOKUP(B165,Customers!A:A,Customers!B:B)</f>
        <v>Zainab Hussain</v>
      </c>
      <c r="K165" t="str">
        <f>_xlfn.XLOOKUP(B165,Customers!A:A,Customers!C:C)</f>
        <v>Lahore</v>
      </c>
      <c r="L165" t="str">
        <f>_xlfn.XLOOKUP(B165,Customers!A:A,Customers!D:D)</f>
        <v>Bronze</v>
      </c>
      <c r="M165">
        <f t="shared" si="2"/>
        <v>12</v>
      </c>
      <c r="N165" t="str">
        <f>_xlfn.XLOOKUP(C165,Products!A:A,Products!E:E)</f>
        <v>Islamabad</v>
      </c>
    </row>
    <row r="166" spans="1:14" x14ac:dyDescent="0.25">
      <c r="A166" t="s">
        <v>237</v>
      </c>
      <c r="B166" t="s">
        <v>52</v>
      </c>
      <c r="C166" t="s">
        <v>32</v>
      </c>
      <c r="D166">
        <v>4</v>
      </c>
      <c r="E166" s="1">
        <v>46195</v>
      </c>
      <c r="F166" t="s">
        <v>9</v>
      </c>
      <c r="G166" t="str">
        <f>VLOOKUP(C166,Products!A:E,2,0)</f>
        <v>Coffee Maker</v>
      </c>
      <c r="H166" t="str">
        <f>VLOOKUP(C166,Products!A:E,3,0)</f>
        <v>Home &amp; Kitchen</v>
      </c>
      <c r="I166">
        <f>VLOOKUP(C166,Products!A:E,4,0)</f>
        <v>110</v>
      </c>
      <c r="J166" t="str">
        <f>_xlfn.XLOOKUP(B166,Customers!A:A,Customers!B:B)</f>
        <v>Bilal Sheikh</v>
      </c>
      <c r="K166" t="str">
        <f>_xlfn.XLOOKUP(B166,Customers!A:A,Customers!C:C)</f>
        <v>Rawalpindi</v>
      </c>
      <c r="L166" t="str">
        <f>_xlfn.XLOOKUP(B166,Customers!A:A,Customers!D:D)</f>
        <v>Bronze</v>
      </c>
      <c r="M166">
        <f t="shared" si="2"/>
        <v>440</v>
      </c>
      <c r="N166" t="str">
        <f>_xlfn.XLOOKUP(C166,Products!A:A,Products!E:E)</f>
        <v>Karachi</v>
      </c>
    </row>
    <row r="167" spans="1:14" x14ac:dyDescent="0.25">
      <c r="A167" t="s">
        <v>238</v>
      </c>
      <c r="B167" t="s">
        <v>55</v>
      </c>
      <c r="C167" t="s">
        <v>35</v>
      </c>
      <c r="D167">
        <v>2</v>
      </c>
      <c r="E167" s="1">
        <v>46195</v>
      </c>
      <c r="F167" t="s">
        <v>9</v>
      </c>
      <c r="G167" t="str">
        <f>VLOOKUP(C167,Products!A:E,2,0)</f>
        <v>Face Serum</v>
      </c>
      <c r="H167" t="str">
        <f>VLOOKUP(C167,Products!A:E,3,0)</f>
        <v>Beauty</v>
      </c>
      <c r="I167">
        <f>VLOOKUP(C167,Products!A:E,4,0)</f>
        <v>30</v>
      </c>
      <c r="J167" t="str">
        <f>_xlfn.XLOOKUP(B167,Customers!A:A,Customers!B:B)</f>
        <v>Omer Farooq</v>
      </c>
      <c r="K167" t="str">
        <f>_xlfn.XLOOKUP(B167,Customers!A:A,Customers!C:C)</f>
        <v>Islamabad</v>
      </c>
      <c r="L167" t="str">
        <f>_xlfn.XLOOKUP(B167,Customers!A:A,Customers!D:D)</f>
        <v>Silver</v>
      </c>
      <c r="M167">
        <f t="shared" si="2"/>
        <v>60</v>
      </c>
      <c r="N167" t="str">
        <f>_xlfn.XLOOKUP(C167,Products!A:A,Products!E:E)</f>
        <v>Lahore</v>
      </c>
    </row>
    <row r="168" spans="1:14" x14ac:dyDescent="0.25">
      <c r="A168" t="s">
        <v>239</v>
      </c>
      <c r="B168" t="s">
        <v>57</v>
      </c>
      <c r="C168" t="s">
        <v>38</v>
      </c>
      <c r="D168">
        <v>1</v>
      </c>
      <c r="E168" s="1">
        <v>46196</v>
      </c>
      <c r="F168" t="s">
        <v>9</v>
      </c>
      <c r="G168" t="str">
        <f>VLOOKUP(C168,Products!A:E,2,0)</f>
        <v>Rice Cooker</v>
      </c>
      <c r="H168" t="str">
        <f>VLOOKUP(C168,Products!A:E,3,0)</f>
        <v>Home &amp; Kitchen</v>
      </c>
      <c r="I168">
        <f>VLOOKUP(C168,Products!A:E,4,0)</f>
        <v>95</v>
      </c>
      <c r="J168" t="str">
        <f>_xlfn.XLOOKUP(B168,Customers!A:A,Customers!B:B)</f>
        <v>Hamza Tariq</v>
      </c>
      <c r="K168" t="str">
        <f>_xlfn.XLOOKUP(B168,Customers!A:A,Customers!C:C)</f>
        <v>Karachi</v>
      </c>
      <c r="L168" t="str">
        <f>_xlfn.XLOOKUP(B168,Customers!A:A,Customers!D:D)</f>
        <v>Silver</v>
      </c>
      <c r="M168">
        <f t="shared" si="2"/>
        <v>95</v>
      </c>
      <c r="N168" t="str">
        <f>_xlfn.XLOOKUP(C168,Products!A:A,Products!E:E)</f>
        <v>Rawalpindi</v>
      </c>
    </row>
    <row r="169" spans="1:14" x14ac:dyDescent="0.25">
      <c r="A169" t="s">
        <v>240</v>
      </c>
      <c r="B169" t="s">
        <v>59</v>
      </c>
      <c r="C169" t="s">
        <v>44</v>
      </c>
      <c r="D169">
        <v>3</v>
      </c>
      <c r="E169" s="1">
        <v>46196</v>
      </c>
      <c r="F169" t="s">
        <v>9</v>
      </c>
      <c r="G169" t="str">
        <f>VLOOKUP(C169,Products!A:E,2,0)</f>
        <v>Moisturizer</v>
      </c>
      <c r="H169" t="str">
        <f>VLOOKUP(C169,Products!A:E,3,0)</f>
        <v>Beauty</v>
      </c>
      <c r="I169">
        <f>VLOOKUP(C169,Products!A:E,4,0)</f>
        <v>25</v>
      </c>
      <c r="J169" t="str">
        <f>_xlfn.XLOOKUP(B169,Customers!A:A,Customers!B:B)</f>
        <v>Tariq Mehmood</v>
      </c>
      <c r="K169" t="str">
        <f>_xlfn.XLOOKUP(B169,Customers!A:A,Customers!C:C)</f>
        <v>Islamabad</v>
      </c>
      <c r="L169" t="str">
        <f>_xlfn.XLOOKUP(B169,Customers!A:A,Customers!D:D)</f>
        <v>Gold</v>
      </c>
      <c r="M169">
        <f t="shared" si="2"/>
        <v>75</v>
      </c>
      <c r="N169" t="str">
        <f>_xlfn.XLOOKUP(C169,Products!A:A,Products!E:E)</f>
        <v>Lahore</v>
      </c>
    </row>
    <row r="170" spans="1:14" x14ac:dyDescent="0.25">
      <c r="A170" t="s">
        <v>241</v>
      </c>
      <c r="B170" t="s">
        <v>61</v>
      </c>
      <c r="C170" t="s">
        <v>28</v>
      </c>
      <c r="D170">
        <v>2</v>
      </c>
      <c r="E170" s="1">
        <v>46197</v>
      </c>
      <c r="F170" t="s">
        <v>9</v>
      </c>
      <c r="G170" t="str">
        <f>VLOOKUP(C170,Products!A:E,2,0)</f>
        <v>Wireless Earbuds</v>
      </c>
      <c r="H170" t="str">
        <f>VLOOKUP(C170,Products!A:E,3,0)</f>
        <v>Electronics</v>
      </c>
      <c r="I170">
        <f>VLOOKUP(C170,Products!A:E,4,0)</f>
        <v>45</v>
      </c>
      <c r="J170" t="str">
        <f>_xlfn.XLOOKUP(B170,Customers!A:A,Customers!B:B)</f>
        <v>Sara Ali</v>
      </c>
      <c r="K170" t="str">
        <f>_xlfn.XLOOKUP(B170,Customers!A:A,Customers!C:C)</f>
        <v>Lahore</v>
      </c>
      <c r="L170" t="str">
        <f>_xlfn.XLOOKUP(B170,Customers!A:A,Customers!D:D)</f>
        <v>Silver</v>
      </c>
      <c r="M170">
        <f t="shared" si="2"/>
        <v>90</v>
      </c>
      <c r="N170" t="str">
        <f>_xlfn.XLOOKUP(C170,Products!A:A,Products!E:E)</f>
        <v>Lahore</v>
      </c>
    </row>
    <row r="171" spans="1:14" x14ac:dyDescent="0.25">
      <c r="A171" t="s">
        <v>242</v>
      </c>
      <c r="B171" t="s">
        <v>63</v>
      </c>
      <c r="C171" t="s">
        <v>47</v>
      </c>
      <c r="D171">
        <v>1</v>
      </c>
      <c r="E171" s="1">
        <v>46197</v>
      </c>
      <c r="F171" t="s">
        <v>19</v>
      </c>
      <c r="G171" t="str">
        <f>VLOOKUP(C171,Products!A:E,2,0)</f>
        <v>Blender</v>
      </c>
      <c r="H171" t="str">
        <f>VLOOKUP(C171,Products!A:E,3,0)</f>
        <v>Home &amp; Kitchen</v>
      </c>
      <c r="I171">
        <f>VLOOKUP(C171,Products!A:E,4,0)</f>
        <v>120</v>
      </c>
      <c r="J171" t="str">
        <f>_xlfn.XLOOKUP(B171,Customers!A:A,Customers!B:B)</f>
        <v>Zara Malik</v>
      </c>
      <c r="K171" t="str">
        <f>_xlfn.XLOOKUP(B171,Customers!A:A,Customers!C:C)</f>
        <v>Islamabad</v>
      </c>
      <c r="L171" t="str">
        <f>_xlfn.XLOOKUP(B171,Customers!A:A,Customers!D:D)</f>
        <v>Bronze</v>
      </c>
      <c r="M171">
        <f t="shared" si="2"/>
        <v>120</v>
      </c>
      <c r="N171" t="str">
        <f>_xlfn.XLOOKUP(C171,Products!A:A,Products!E:E)</f>
        <v>Islamabad</v>
      </c>
    </row>
    <row r="172" spans="1:14" x14ac:dyDescent="0.25">
      <c r="A172" t="s">
        <v>243</v>
      </c>
      <c r="B172" t="s">
        <v>65</v>
      </c>
      <c r="C172" t="s">
        <v>8</v>
      </c>
      <c r="D172">
        <v>3</v>
      </c>
      <c r="E172" s="1">
        <v>46198</v>
      </c>
      <c r="F172" t="s">
        <v>9</v>
      </c>
      <c r="G172" t="str">
        <f>VLOOKUP(C172,Products!A:E,2,0)</f>
        <v>Laptop Stand</v>
      </c>
      <c r="H172" t="str">
        <f>VLOOKUP(C172,Products!A:E,3,0)</f>
        <v>Electronics</v>
      </c>
      <c r="I172">
        <f>VLOOKUP(C172,Products!A:E,4,0)</f>
        <v>40</v>
      </c>
      <c r="J172" t="str">
        <f>_xlfn.XLOOKUP(B172,Customers!A:A,Customers!B:B)</f>
        <v>Rabia Noor</v>
      </c>
      <c r="K172" t="str">
        <f>_xlfn.XLOOKUP(B172,Customers!A:A,Customers!C:C)</f>
        <v>Karachi</v>
      </c>
      <c r="L172" t="str">
        <f>_xlfn.XLOOKUP(B172,Customers!A:A,Customers!D:D)</f>
        <v>Gold</v>
      </c>
      <c r="M172">
        <f t="shared" si="2"/>
        <v>120</v>
      </c>
      <c r="N172" t="str">
        <f>_xlfn.XLOOKUP(C172,Products!A:A,Products!E:E)</f>
        <v>Rawalpindi</v>
      </c>
    </row>
    <row r="173" spans="1:14" x14ac:dyDescent="0.25">
      <c r="A173" t="s">
        <v>244</v>
      </c>
      <c r="B173" t="s">
        <v>67</v>
      </c>
      <c r="C173" t="s">
        <v>53</v>
      </c>
      <c r="D173">
        <v>2</v>
      </c>
      <c r="E173" s="1">
        <v>46198</v>
      </c>
      <c r="F173" t="s">
        <v>9</v>
      </c>
      <c r="G173" t="str">
        <f>VLOOKUP(C173,Products!A:E,2,0)</f>
        <v>Night Cream</v>
      </c>
      <c r="H173" t="str">
        <f>VLOOKUP(C173,Products!A:E,3,0)</f>
        <v>Beauty</v>
      </c>
      <c r="I173">
        <f>VLOOKUP(C173,Products!A:E,4,0)</f>
        <v>40</v>
      </c>
      <c r="J173" t="str">
        <f>_xlfn.XLOOKUP(B173,Customers!A:A,Customers!B:B)</f>
        <v>Kamran Iqbal</v>
      </c>
      <c r="K173" t="str">
        <f>_xlfn.XLOOKUP(B173,Customers!A:A,Customers!C:C)</f>
        <v>Faisalabad</v>
      </c>
      <c r="L173" t="str">
        <f>_xlfn.XLOOKUP(B173,Customers!A:A,Customers!D:D)</f>
        <v>Gold</v>
      </c>
      <c r="M173">
        <f t="shared" si="2"/>
        <v>80</v>
      </c>
      <c r="N173" t="str">
        <f>_xlfn.XLOOKUP(C173,Products!A:A,Products!E:E)</f>
        <v>Faisalabad</v>
      </c>
    </row>
    <row r="174" spans="1:14" x14ac:dyDescent="0.25">
      <c r="A174" t="s">
        <v>245</v>
      </c>
      <c r="B174" t="s">
        <v>69</v>
      </c>
      <c r="C174" t="s">
        <v>25</v>
      </c>
      <c r="D174">
        <v>1</v>
      </c>
      <c r="E174" s="1">
        <v>46199</v>
      </c>
      <c r="F174" t="s">
        <v>9</v>
      </c>
      <c r="G174" t="str">
        <f>VLOOKUP(C174,Products!A:E,2,0)</f>
        <v>Sunscreen</v>
      </c>
      <c r="H174" t="str">
        <f>VLOOKUP(C174,Products!A:E,3,0)</f>
        <v>Beauty</v>
      </c>
      <c r="I174">
        <f>VLOOKUP(C174,Products!A:E,4,0)</f>
        <v>15</v>
      </c>
      <c r="J174" t="str">
        <f>_xlfn.XLOOKUP(B174,Customers!A:A,Customers!B:B)</f>
        <v>Nabeel Awan</v>
      </c>
      <c r="K174" t="str">
        <f>_xlfn.XLOOKUP(B174,Customers!A:A,Customers!C:C)</f>
        <v>Islamabad</v>
      </c>
      <c r="L174" t="str">
        <f>_xlfn.XLOOKUP(B174,Customers!A:A,Customers!D:D)</f>
        <v>Bronze</v>
      </c>
      <c r="M174">
        <f t="shared" si="2"/>
        <v>15</v>
      </c>
      <c r="N174" t="str">
        <f>_xlfn.XLOOKUP(C174,Products!A:A,Products!E:E)</f>
        <v>Karachi</v>
      </c>
    </row>
    <row r="175" spans="1:14" x14ac:dyDescent="0.25">
      <c r="A175" t="s">
        <v>246</v>
      </c>
      <c r="B175" t="s">
        <v>71</v>
      </c>
      <c r="C175" t="s">
        <v>50</v>
      </c>
      <c r="D175">
        <v>4</v>
      </c>
      <c r="E175" s="1">
        <v>46199</v>
      </c>
      <c r="F175" t="s">
        <v>9</v>
      </c>
      <c r="G175" t="str">
        <f>VLOOKUP(C175,Products!A:E,2,0)</f>
        <v>Bluetooth Speaker</v>
      </c>
      <c r="H175" t="str">
        <f>VLOOKUP(C175,Products!A:E,3,0)</f>
        <v>Electronics</v>
      </c>
      <c r="I175">
        <f>VLOOKUP(C175,Products!A:E,4,0)</f>
        <v>95</v>
      </c>
      <c r="J175" t="str">
        <f>_xlfn.XLOOKUP(B175,Customers!A:A,Customers!B:B)</f>
        <v>Bilal Ahmed</v>
      </c>
      <c r="K175" t="str">
        <f>_xlfn.XLOOKUP(B175,Customers!A:A,Customers!C:C)</f>
        <v>Faisalabad</v>
      </c>
      <c r="L175" t="str">
        <f>_xlfn.XLOOKUP(B175,Customers!A:A,Customers!D:D)</f>
        <v>Bronze</v>
      </c>
      <c r="M175">
        <f t="shared" si="2"/>
        <v>380</v>
      </c>
      <c r="N175" t="str">
        <f>_xlfn.XLOOKUP(C175,Products!A:A,Products!E:E)</f>
        <v>Karachi</v>
      </c>
    </row>
    <row r="176" spans="1:14" x14ac:dyDescent="0.25">
      <c r="A176" t="s">
        <v>247</v>
      </c>
      <c r="B176" t="s">
        <v>73</v>
      </c>
      <c r="C176" t="s">
        <v>18</v>
      </c>
      <c r="D176">
        <v>2</v>
      </c>
      <c r="E176" s="1">
        <v>46200</v>
      </c>
      <c r="F176" t="s">
        <v>9</v>
      </c>
      <c r="G176" t="str">
        <f>VLOOKUP(C176,Products!A:E,2,0)</f>
        <v>Hair Serum</v>
      </c>
      <c r="H176" t="str">
        <f>VLOOKUP(C176,Products!A:E,3,0)</f>
        <v>Beauty</v>
      </c>
      <c r="I176">
        <f>VLOOKUP(C176,Products!A:E,4,0)</f>
        <v>35</v>
      </c>
      <c r="J176" t="str">
        <f>_xlfn.XLOOKUP(B176,Customers!A:A,Customers!B:B)</f>
        <v>Imran Satti</v>
      </c>
      <c r="K176" t="str">
        <f>_xlfn.XLOOKUP(B176,Customers!A:A,Customers!C:C)</f>
        <v>Islamabad</v>
      </c>
      <c r="L176" t="str">
        <f>_xlfn.XLOOKUP(B176,Customers!A:A,Customers!D:D)</f>
        <v>Gold</v>
      </c>
      <c r="M176">
        <f t="shared" si="2"/>
        <v>70</v>
      </c>
      <c r="N176" t="str">
        <f>_xlfn.XLOOKUP(C176,Products!A:A,Products!E:E)</f>
        <v>Islamabad</v>
      </c>
    </row>
    <row r="177" spans="1:14" x14ac:dyDescent="0.25">
      <c r="A177" t="s">
        <v>248</v>
      </c>
      <c r="B177" t="s">
        <v>75</v>
      </c>
      <c r="C177" t="s">
        <v>12</v>
      </c>
      <c r="D177">
        <v>1</v>
      </c>
      <c r="E177" s="1">
        <v>46200</v>
      </c>
      <c r="F177" t="s">
        <v>9</v>
      </c>
      <c r="G177" t="str">
        <f>VLOOKUP(C177,Products!A:E,2,0)</f>
        <v>Air Fryer</v>
      </c>
      <c r="H177" t="str">
        <f>VLOOKUP(C177,Products!A:E,3,0)</f>
        <v>Home &amp; Kitchen</v>
      </c>
      <c r="I177">
        <f>VLOOKUP(C177,Products!A:E,4,0)</f>
        <v>150</v>
      </c>
      <c r="J177" t="str">
        <f>_xlfn.XLOOKUP(B177,Customers!A:A,Customers!B:B)</f>
        <v>Imran Khan</v>
      </c>
      <c r="K177" t="str">
        <f>_xlfn.XLOOKUP(B177,Customers!A:A,Customers!C:C)</f>
        <v>Rawalpindi</v>
      </c>
      <c r="L177" t="str">
        <f>_xlfn.XLOOKUP(B177,Customers!A:A,Customers!D:D)</f>
        <v>Bronze</v>
      </c>
      <c r="M177">
        <f t="shared" si="2"/>
        <v>150</v>
      </c>
      <c r="N177" t="str">
        <f>_xlfn.XLOOKUP(C177,Products!A:A,Products!E:E)</f>
        <v>Lahore</v>
      </c>
    </row>
    <row r="178" spans="1:14" x14ac:dyDescent="0.25">
      <c r="A178" t="s">
        <v>249</v>
      </c>
      <c r="B178" t="s">
        <v>77</v>
      </c>
      <c r="C178" t="s">
        <v>15</v>
      </c>
      <c r="D178">
        <v>3</v>
      </c>
      <c r="E178" s="1">
        <v>46201</v>
      </c>
      <c r="F178" t="s">
        <v>9</v>
      </c>
      <c r="G178" t="str">
        <f>VLOOKUP(C178,Products!A:E,2,0)</f>
        <v>Phone Case</v>
      </c>
      <c r="H178" t="str">
        <f>VLOOKUP(C178,Products!A:E,3,0)</f>
        <v>Electronics</v>
      </c>
      <c r="I178">
        <f>VLOOKUP(C178,Products!A:E,4,0)</f>
        <v>12</v>
      </c>
      <c r="J178" t="str">
        <f>_xlfn.XLOOKUP(B178,Customers!A:A,Customers!B:B)</f>
        <v>Hina Awan</v>
      </c>
      <c r="K178" t="str">
        <f>_xlfn.XLOOKUP(B178,Customers!A:A,Customers!C:C)</f>
        <v>Karachi</v>
      </c>
      <c r="L178" t="str">
        <f>_xlfn.XLOOKUP(B178,Customers!A:A,Customers!D:D)</f>
        <v>Silver</v>
      </c>
      <c r="M178">
        <f t="shared" si="2"/>
        <v>36</v>
      </c>
      <c r="N178" t="str">
        <f>_xlfn.XLOOKUP(C178,Products!A:A,Products!E:E)</f>
        <v>Islamabad</v>
      </c>
    </row>
    <row r="179" spans="1:14" x14ac:dyDescent="0.25">
      <c r="A179" t="s">
        <v>250</v>
      </c>
      <c r="B179" t="s">
        <v>79</v>
      </c>
      <c r="C179" t="s">
        <v>32</v>
      </c>
      <c r="D179">
        <v>2</v>
      </c>
      <c r="E179" s="1">
        <v>46201</v>
      </c>
      <c r="F179" t="s">
        <v>9</v>
      </c>
      <c r="G179" t="str">
        <f>VLOOKUP(C179,Products!A:E,2,0)</f>
        <v>Coffee Maker</v>
      </c>
      <c r="H179" t="str">
        <f>VLOOKUP(C179,Products!A:E,3,0)</f>
        <v>Home &amp; Kitchen</v>
      </c>
      <c r="I179">
        <f>VLOOKUP(C179,Products!A:E,4,0)</f>
        <v>110</v>
      </c>
      <c r="J179" t="str">
        <f>_xlfn.XLOOKUP(B179,Customers!A:A,Customers!B:B)</f>
        <v>Sadia Awan</v>
      </c>
      <c r="K179" t="str">
        <f>_xlfn.XLOOKUP(B179,Customers!A:A,Customers!C:C)</f>
        <v>Lahore</v>
      </c>
      <c r="L179" t="str">
        <f>_xlfn.XLOOKUP(B179,Customers!A:A,Customers!D:D)</f>
        <v>Bronze</v>
      </c>
      <c r="M179">
        <f t="shared" si="2"/>
        <v>220</v>
      </c>
      <c r="N179" t="str">
        <f>_xlfn.XLOOKUP(C179,Products!A:A,Products!E:E)</f>
        <v>Karachi</v>
      </c>
    </row>
    <row r="180" spans="1:14" x14ac:dyDescent="0.25">
      <c r="A180" t="s">
        <v>251</v>
      </c>
      <c r="B180" t="s">
        <v>81</v>
      </c>
      <c r="C180" t="s">
        <v>35</v>
      </c>
      <c r="D180">
        <v>1</v>
      </c>
      <c r="E180" s="1">
        <v>46202</v>
      </c>
      <c r="F180" t="s">
        <v>9</v>
      </c>
      <c r="G180" t="str">
        <f>VLOOKUP(C180,Products!A:E,2,0)</f>
        <v>Face Serum</v>
      </c>
      <c r="H180" t="str">
        <f>VLOOKUP(C180,Products!A:E,3,0)</f>
        <v>Beauty</v>
      </c>
      <c r="I180">
        <f>VLOOKUP(C180,Products!A:E,4,0)</f>
        <v>30</v>
      </c>
      <c r="J180" t="str">
        <f>_xlfn.XLOOKUP(B180,Customers!A:A,Customers!B:B)</f>
        <v>Ahmed Khan</v>
      </c>
      <c r="K180" t="str">
        <f>_xlfn.XLOOKUP(B180,Customers!A:A,Customers!C:C)</f>
        <v>Karachi</v>
      </c>
      <c r="L180" t="str">
        <f>_xlfn.XLOOKUP(B180,Customers!A:A,Customers!D:D)</f>
        <v>Gold</v>
      </c>
      <c r="M180">
        <f t="shared" si="2"/>
        <v>30</v>
      </c>
      <c r="N180" t="str">
        <f>_xlfn.XLOOKUP(C180,Products!A:A,Products!E:E)</f>
        <v>Lahore</v>
      </c>
    </row>
    <row r="181" spans="1:14" x14ac:dyDescent="0.25">
      <c r="A181" t="s">
        <v>252</v>
      </c>
      <c r="B181" t="s">
        <v>83</v>
      </c>
      <c r="C181" t="s">
        <v>38</v>
      </c>
      <c r="D181">
        <v>4</v>
      </c>
      <c r="E181" s="1">
        <v>46202</v>
      </c>
      <c r="F181" t="s">
        <v>9</v>
      </c>
      <c r="G181" t="str">
        <f>VLOOKUP(C181,Products!A:E,2,0)</f>
        <v>Rice Cooker</v>
      </c>
      <c r="H181" t="str">
        <f>VLOOKUP(C181,Products!A:E,3,0)</f>
        <v>Home &amp; Kitchen</v>
      </c>
      <c r="I181">
        <f>VLOOKUP(C181,Products!A:E,4,0)</f>
        <v>95</v>
      </c>
      <c r="J181" t="str">
        <f>_xlfn.XLOOKUP(B181,Customers!A:A,Customers!B:B)</f>
        <v>Junaid Alam</v>
      </c>
      <c r="K181" t="str">
        <f>_xlfn.XLOOKUP(B181,Customers!A:A,Customers!C:C)</f>
        <v>Lahore</v>
      </c>
      <c r="L181" t="str">
        <f>_xlfn.XLOOKUP(B181,Customers!A:A,Customers!D:D)</f>
        <v>Bronze</v>
      </c>
      <c r="M181">
        <f t="shared" si="2"/>
        <v>380</v>
      </c>
      <c r="N181" t="str">
        <f>_xlfn.XLOOKUP(C181,Products!A:A,Products!E:E)</f>
        <v>Rawalpindi</v>
      </c>
    </row>
    <row r="182" spans="1:14" x14ac:dyDescent="0.25">
      <c r="A182" t="s">
        <v>253</v>
      </c>
      <c r="B182" t="s">
        <v>85</v>
      </c>
      <c r="C182" t="s">
        <v>44</v>
      </c>
      <c r="D182">
        <v>2</v>
      </c>
      <c r="E182" s="1">
        <v>46203</v>
      </c>
      <c r="F182" t="s">
        <v>9</v>
      </c>
      <c r="G182" t="str">
        <f>VLOOKUP(C182,Products!A:E,2,0)</f>
        <v>Moisturizer</v>
      </c>
      <c r="H182" t="str">
        <f>VLOOKUP(C182,Products!A:E,3,0)</f>
        <v>Beauty</v>
      </c>
      <c r="I182">
        <f>VLOOKUP(C182,Products!A:E,4,0)</f>
        <v>25</v>
      </c>
      <c r="J182" t="str">
        <f>_xlfn.XLOOKUP(B182,Customers!A:A,Customers!B:B)</f>
        <v>Sobia Tariq</v>
      </c>
      <c r="K182" t="str">
        <f>_xlfn.XLOOKUP(B182,Customers!A:A,Customers!C:C)</f>
        <v>Lahore</v>
      </c>
      <c r="L182" t="str">
        <f>_xlfn.XLOOKUP(B182,Customers!A:A,Customers!D:D)</f>
        <v>Silver</v>
      </c>
      <c r="M182">
        <f t="shared" si="2"/>
        <v>50</v>
      </c>
      <c r="N182" t="str">
        <f>_xlfn.XLOOKUP(C182,Products!A:A,Products!E:E)</f>
        <v>Lahore</v>
      </c>
    </row>
    <row r="183" spans="1:14" x14ac:dyDescent="0.25">
      <c r="A183" t="s">
        <v>254</v>
      </c>
      <c r="B183" t="s">
        <v>87</v>
      </c>
      <c r="C183" t="s">
        <v>28</v>
      </c>
      <c r="D183">
        <v>1</v>
      </c>
      <c r="E183" s="1">
        <v>46203</v>
      </c>
      <c r="F183" t="s">
        <v>9</v>
      </c>
      <c r="G183" t="str">
        <f>VLOOKUP(C183,Products!A:E,2,0)</f>
        <v>Wireless Earbuds</v>
      </c>
      <c r="H183" t="str">
        <f>VLOOKUP(C183,Products!A:E,3,0)</f>
        <v>Electronics</v>
      </c>
      <c r="I183">
        <f>VLOOKUP(C183,Products!A:E,4,0)</f>
        <v>45</v>
      </c>
      <c r="J183" t="str">
        <f>_xlfn.XLOOKUP(B183,Customers!A:A,Customers!B:B)</f>
        <v>Saad Butt</v>
      </c>
      <c r="K183" t="str">
        <f>_xlfn.XLOOKUP(B183,Customers!A:A,Customers!C:C)</f>
        <v>Islamabad</v>
      </c>
      <c r="L183" t="str">
        <f>_xlfn.XLOOKUP(B183,Customers!A:A,Customers!D:D)</f>
        <v>Gold</v>
      </c>
      <c r="M183">
        <f t="shared" si="2"/>
        <v>45</v>
      </c>
      <c r="N183" t="str">
        <f>_xlfn.XLOOKUP(C183,Products!A:A,Products!E:E)</f>
        <v>Lahore</v>
      </c>
    </row>
    <row r="184" spans="1:14" x14ac:dyDescent="0.25">
      <c r="A184" t="s">
        <v>255</v>
      </c>
      <c r="B184" t="s">
        <v>89</v>
      </c>
      <c r="C184" t="s">
        <v>47</v>
      </c>
      <c r="D184">
        <v>3</v>
      </c>
      <c r="E184" s="1">
        <v>46204</v>
      </c>
      <c r="F184" t="s">
        <v>9</v>
      </c>
      <c r="G184" t="str">
        <f>VLOOKUP(C184,Products!A:E,2,0)</f>
        <v>Blender</v>
      </c>
      <c r="H184" t="str">
        <f>VLOOKUP(C184,Products!A:E,3,0)</f>
        <v>Home &amp; Kitchen</v>
      </c>
      <c r="I184">
        <f>VLOOKUP(C184,Products!A:E,4,0)</f>
        <v>120</v>
      </c>
      <c r="J184" t="str">
        <f>_xlfn.XLOOKUP(B184,Customers!A:A,Customers!B:B)</f>
        <v>Mehwish Tariq</v>
      </c>
      <c r="K184" t="str">
        <f>_xlfn.XLOOKUP(B184,Customers!A:A,Customers!C:C)</f>
        <v>Faisalabad</v>
      </c>
      <c r="L184" t="str">
        <f>_xlfn.XLOOKUP(B184,Customers!A:A,Customers!D:D)</f>
        <v>Silver</v>
      </c>
      <c r="M184">
        <f t="shared" si="2"/>
        <v>360</v>
      </c>
      <c r="N184" t="str">
        <f>_xlfn.XLOOKUP(C184,Products!A:A,Products!E:E)</f>
        <v>Islamabad</v>
      </c>
    </row>
    <row r="185" spans="1:14" x14ac:dyDescent="0.25">
      <c r="A185" t="s">
        <v>256</v>
      </c>
      <c r="B185" t="s">
        <v>91</v>
      </c>
      <c r="C185" t="s">
        <v>8</v>
      </c>
      <c r="D185">
        <v>2</v>
      </c>
      <c r="E185" s="1">
        <v>46204</v>
      </c>
      <c r="F185" t="s">
        <v>9</v>
      </c>
      <c r="G185" t="str">
        <f>VLOOKUP(C185,Products!A:E,2,0)</f>
        <v>Laptop Stand</v>
      </c>
      <c r="H185" t="str">
        <f>VLOOKUP(C185,Products!A:E,3,0)</f>
        <v>Electronics</v>
      </c>
      <c r="I185">
        <f>VLOOKUP(C185,Products!A:E,4,0)</f>
        <v>40</v>
      </c>
      <c r="J185" t="str">
        <f>_xlfn.XLOOKUP(B185,Customers!A:A,Customers!B:B)</f>
        <v>Fatima Malik</v>
      </c>
      <c r="K185" t="str">
        <f>_xlfn.XLOOKUP(B185,Customers!A:A,Customers!C:C)</f>
        <v>Karachi</v>
      </c>
      <c r="L185" t="str">
        <f>_xlfn.XLOOKUP(B185,Customers!A:A,Customers!D:D)</f>
        <v>Gold</v>
      </c>
      <c r="M185">
        <f t="shared" si="2"/>
        <v>80</v>
      </c>
      <c r="N185" t="str">
        <f>_xlfn.XLOOKUP(C185,Products!A:A,Products!E:E)</f>
        <v>Rawalpindi</v>
      </c>
    </row>
    <row r="186" spans="1:14" x14ac:dyDescent="0.25">
      <c r="A186" t="s">
        <v>257</v>
      </c>
      <c r="B186" t="s">
        <v>93</v>
      </c>
      <c r="C186" t="s">
        <v>53</v>
      </c>
      <c r="D186">
        <v>1</v>
      </c>
      <c r="E186" s="1">
        <v>46205</v>
      </c>
      <c r="F186" t="s">
        <v>9</v>
      </c>
      <c r="G186" t="str">
        <f>VLOOKUP(C186,Products!A:E,2,0)</f>
        <v>Night Cream</v>
      </c>
      <c r="H186" t="str">
        <f>VLOOKUP(C186,Products!A:E,3,0)</f>
        <v>Beauty</v>
      </c>
      <c r="I186">
        <f>VLOOKUP(C186,Products!A:E,4,0)</f>
        <v>40</v>
      </c>
      <c r="J186" t="str">
        <f>_xlfn.XLOOKUP(B186,Customers!A:A,Customers!B:B)</f>
        <v>Asad Mahmood</v>
      </c>
      <c r="K186" t="str">
        <f>_xlfn.XLOOKUP(B186,Customers!A:A,Customers!C:C)</f>
        <v>Karachi</v>
      </c>
      <c r="L186" t="str">
        <f>_xlfn.XLOOKUP(B186,Customers!A:A,Customers!D:D)</f>
        <v>Silver</v>
      </c>
      <c r="M186">
        <f t="shared" si="2"/>
        <v>40</v>
      </c>
      <c r="N186" t="str">
        <f>_xlfn.XLOOKUP(C186,Products!A:A,Products!E:E)</f>
        <v>Faisalabad</v>
      </c>
    </row>
    <row r="187" spans="1:14" x14ac:dyDescent="0.25">
      <c r="A187" t="s">
        <v>258</v>
      </c>
      <c r="B187" t="s">
        <v>95</v>
      </c>
      <c r="C187" t="s">
        <v>25</v>
      </c>
      <c r="D187">
        <v>4</v>
      </c>
      <c r="E187" s="1">
        <v>46205</v>
      </c>
      <c r="F187" t="s">
        <v>19</v>
      </c>
      <c r="G187" t="str">
        <f>VLOOKUP(C187,Products!A:E,2,0)</f>
        <v>Sunscreen</v>
      </c>
      <c r="H187" t="str">
        <f>VLOOKUP(C187,Products!A:E,3,0)</f>
        <v>Beauty</v>
      </c>
      <c r="I187">
        <f>VLOOKUP(C187,Products!A:E,4,0)</f>
        <v>15</v>
      </c>
      <c r="J187" t="str">
        <f>_xlfn.XLOOKUP(B187,Customers!A:A,Customers!B:B)</f>
        <v>Taha Qureshi</v>
      </c>
      <c r="K187" t="str">
        <f>_xlfn.XLOOKUP(B187,Customers!A:A,Customers!C:C)</f>
        <v>Lahore</v>
      </c>
      <c r="L187" t="str">
        <f>_xlfn.XLOOKUP(B187,Customers!A:A,Customers!D:D)</f>
        <v>Gold</v>
      </c>
      <c r="M187">
        <f t="shared" si="2"/>
        <v>60</v>
      </c>
      <c r="N187" t="str">
        <f>_xlfn.XLOOKUP(C187,Products!A:A,Products!E:E)</f>
        <v>Karachi</v>
      </c>
    </row>
    <row r="188" spans="1:14" x14ac:dyDescent="0.25">
      <c r="A188" t="s">
        <v>259</v>
      </c>
      <c r="B188" t="s">
        <v>97</v>
      </c>
      <c r="C188" t="s">
        <v>50</v>
      </c>
      <c r="D188">
        <v>2</v>
      </c>
      <c r="E188" s="1">
        <v>46206</v>
      </c>
      <c r="F188" t="s">
        <v>9</v>
      </c>
      <c r="G188" t="str">
        <f>VLOOKUP(C188,Products!A:E,2,0)</f>
        <v>Bluetooth Speaker</v>
      </c>
      <c r="H188" t="str">
        <f>VLOOKUP(C188,Products!A:E,3,0)</f>
        <v>Electronics</v>
      </c>
      <c r="I188">
        <f>VLOOKUP(C188,Products!A:E,4,0)</f>
        <v>95</v>
      </c>
      <c r="J188" t="str">
        <f>_xlfn.XLOOKUP(B188,Customers!A:A,Customers!B:B)</f>
        <v>Nadia Qureshi</v>
      </c>
      <c r="K188" t="str">
        <f>_xlfn.XLOOKUP(B188,Customers!A:A,Customers!C:C)</f>
        <v>Lahore</v>
      </c>
      <c r="L188" t="str">
        <f>_xlfn.XLOOKUP(B188,Customers!A:A,Customers!D:D)</f>
        <v>Gold</v>
      </c>
      <c r="M188">
        <f t="shared" si="2"/>
        <v>190</v>
      </c>
      <c r="N188" t="str">
        <f>_xlfn.XLOOKUP(C188,Products!A:A,Products!E:E)</f>
        <v>Karachi</v>
      </c>
    </row>
    <row r="189" spans="1:14" x14ac:dyDescent="0.25">
      <c r="A189" t="s">
        <v>260</v>
      </c>
      <c r="B189" t="s">
        <v>99</v>
      </c>
      <c r="C189" t="s">
        <v>18</v>
      </c>
      <c r="D189">
        <v>1</v>
      </c>
      <c r="E189" s="1">
        <v>46206</v>
      </c>
      <c r="F189" t="s">
        <v>9</v>
      </c>
      <c r="G189" t="str">
        <f>VLOOKUP(C189,Products!A:E,2,0)</f>
        <v>Hair Serum</v>
      </c>
      <c r="H189" t="str">
        <f>VLOOKUP(C189,Products!A:E,3,0)</f>
        <v>Beauty</v>
      </c>
      <c r="I189">
        <f>VLOOKUP(C189,Products!A:E,4,0)</f>
        <v>35</v>
      </c>
      <c r="J189" t="str">
        <f>_xlfn.XLOOKUP(B189,Customers!A:A,Customers!B:B)</f>
        <v>Maham Rizvi</v>
      </c>
      <c r="K189" t="str">
        <f>_xlfn.XLOOKUP(B189,Customers!A:A,Customers!C:C)</f>
        <v>Lahore</v>
      </c>
      <c r="L189" t="str">
        <f>_xlfn.XLOOKUP(B189,Customers!A:A,Customers!D:D)</f>
        <v>Silver</v>
      </c>
      <c r="M189">
        <f t="shared" si="2"/>
        <v>35</v>
      </c>
      <c r="N189" t="str">
        <f>_xlfn.XLOOKUP(C189,Products!A:A,Products!E:E)</f>
        <v>Islamabad</v>
      </c>
    </row>
    <row r="190" spans="1:14" x14ac:dyDescent="0.25">
      <c r="A190" t="s">
        <v>261</v>
      </c>
      <c r="B190" t="s">
        <v>101</v>
      </c>
      <c r="C190" t="s">
        <v>12</v>
      </c>
      <c r="D190">
        <v>3</v>
      </c>
      <c r="E190" s="1">
        <v>46207</v>
      </c>
      <c r="F190" t="s">
        <v>9</v>
      </c>
      <c r="G190" t="str">
        <f>VLOOKUP(C190,Products!A:E,2,0)</f>
        <v>Air Fryer</v>
      </c>
      <c r="H190" t="str">
        <f>VLOOKUP(C190,Products!A:E,3,0)</f>
        <v>Home &amp; Kitchen</v>
      </c>
      <c r="I190">
        <f>VLOOKUP(C190,Products!A:E,4,0)</f>
        <v>150</v>
      </c>
      <c r="J190" t="str">
        <f>_xlfn.XLOOKUP(B190,Customers!A:A,Customers!B:B)</f>
        <v>Zubair Hassan</v>
      </c>
      <c r="K190" t="str">
        <f>_xlfn.XLOOKUP(B190,Customers!A:A,Customers!C:C)</f>
        <v>Rawalpindi</v>
      </c>
      <c r="L190" t="str">
        <f>_xlfn.XLOOKUP(B190,Customers!A:A,Customers!D:D)</f>
        <v>Gold</v>
      </c>
      <c r="M190">
        <f t="shared" si="2"/>
        <v>450</v>
      </c>
      <c r="N190" t="str">
        <f>_xlfn.XLOOKUP(C190,Products!A:A,Products!E:E)</f>
        <v>Lahore</v>
      </c>
    </row>
    <row r="191" spans="1:14" x14ac:dyDescent="0.25">
      <c r="A191" t="s">
        <v>262</v>
      </c>
      <c r="B191" t="s">
        <v>103</v>
      </c>
      <c r="C191" t="s">
        <v>15</v>
      </c>
      <c r="D191">
        <v>2</v>
      </c>
      <c r="E191" s="1">
        <v>46207</v>
      </c>
      <c r="F191" t="s">
        <v>9</v>
      </c>
      <c r="G191" t="str">
        <f>VLOOKUP(C191,Products!A:E,2,0)</f>
        <v>Phone Case</v>
      </c>
      <c r="H191" t="str">
        <f>VLOOKUP(C191,Products!A:E,3,0)</f>
        <v>Electronics</v>
      </c>
      <c r="I191">
        <f>VLOOKUP(C191,Products!A:E,4,0)</f>
        <v>12</v>
      </c>
      <c r="J191" t="str">
        <f>_xlfn.XLOOKUP(B191,Customers!A:A,Customers!B:B)</f>
        <v>Sundas Ali</v>
      </c>
      <c r="K191" t="str">
        <f>_xlfn.XLOOKUP(B191,Customers!A:A,Customers!C:C)</f>
        <v>Lahore</v>
      </c>
      <c r="L191" t="str">
        <f>_xlfn.XLOOKUP(B191,Customers!A:A,Customers!D:D)</f>
        <v>Gold</v>
      </c>
      <c r="M191">
        <f t="shared" si="2"/>
        <v>24</v>
      </c>
      <c r="N191" t="str">
        <f>_xlfn.XLOOKUP(C191,Products!A:A,Products!E:E)</f>
        <v>Islamabad</v>
      </c>
    </row>
    <row r="192" spans="1:14" x14ac:dyDescent="0.25">
      <c r="A192" t="s">
        <v>263</v>
      </c>
      <c r="B192" t="s">
        <v>14</v>
      </c>
      <c r="C192" t="s">
        <v>32</v>
      </c>
      <c r="D192">
        <v>1</v>
      </c>
      <c r="E192" s="1">
        <v>46208</v>
      </c>
      <c r="F192" t="s">
        <v>9</v>
      </c>
      <c r="G192" t="str">
        <f>VLOOKUP(C192,Products!A:E,2,0)</f>
        <v>Coffee Maker</v>
      </c>
      <c r="H192" t="str">
        <f>VLOOKUP(C192,Products!A:E,3,0)</f>
        <v>Home &amp; Kitchen</v>
      </c>
      <c r="I192">
        <f>VLOOKUP(C192,Products!A:E,4,0)</f>
        <v>110</v>
      </c>
      <c r="J192" t="str">
        <f>_xlfn.XLOOKUP(B192,Customers!A:A,Customers!B:B)</f>
        <v>Omar Tariq</v>
      </c>
      <c r="K192" t="str">
        <f>_xlfn.XLOOKUP(B192,Customers!A:A,Customers!C:C)</f>
        <v>Karachi</v>
      </c>
      <c r="L192" t="str">
        <f>_xlfn.XLOOKUP(B192,Customers!A:A,Customers!D:D)</f>
        <v>Gold</v>
      </c>
      <c r="M192">
        <f t="shared" si="2"/>
        <v>110</v>
      </c>
      <c r="N192" t="str">
        <f>_xlfn.XLOOKUP(C192,Products!A:A,Products!E:E)</f>
        <v>Karachi</v>
      </c>
    </row>
    <row r="193" spans="1:14" x14ac:dyDescent="0.25">
      <c r="A193" t="s">
        <v>264</v>
      </c>
      <c r="B193" t="s">
        <v>106</v>
      </c>
      <c r="C193" t="s">
        <v>35</v>
      </c>
      <c r="D193">
        <v>4</v>
      </c>
      <c r="E193" s="1">
        <v>46208</v>
      </c>
      <c r="F193" t="s">
        <v>9</v>
      </c>
      <c r="G193" t="str">
        <f>VLOOKUP(C193,Products!A:E,2,0)</f>
        <v>Face Serum</v>
      </c>
      <c r="H193" t="str">
        <f>VLOOKUP(C193,Products!A:E,3,0)</f>
        <v>Beauty</v>
      </c>
      <c r="I193">
        <f>VLOOKUP(C193,Products!A:E,4,0)</f>
        <v>30</v>
      </c>
      <c r="J193" t="str">
        <f>_xlfn.XLOOKUP(B193,Customers!A:A,Customers!B:B)</f>
        <v>Ahmed Raza</v>
      </c>
      <c r="K193" t="str">
        <f>_xlfn.XLOOKUP(B193,Customers!A:A,Customers!C:C)</f>
        <v>Karachi</v>
      </c>
      <c r="L193" t="str">
        <f>_xlfn.XLOOKUP(B193,Customers!A:A,Customers!D:D)</f>
        <v>Bronze</v>
      </c>
      <c r="M193">
        <f t="shared" si="2"/>
        <v>120</v>
      </c>
      <c r="N193" t="str">
        <f>_xlfn.XLOOKUP(C193,Products!A:A,Products!E:E)</f>
        <v>Lahore</v>
      </c>
    </row>
    <row r="194" spans="1:14" x14ac:dyDescent="0.25">
      <c r="A194" t="s">
        <v>265</v>
      </c>
      <c r="B194" t="s">
        <v>108</v>
      </c>
      <c r="C194" t="s">
        <v>38</v>
      </c>
      <c r="D194">
        <v>2</v>
      </c>
      <c r="E194" s="1">
        <v>46209</v>
      </c>
      <c r="F194" t="s">
        <v>9</v>
      </c>
      <c r="G194" t="str">
        <f>VLOOKUP(C194,Products!A:E,2,0)</f>
        <v>Rice Cooker</v>
      </c>
      <c r="H194" t="str">
        <f>VLOOKUP(C194,Products!A:E,3,0)</f>
        <v>Home &amp; Kitchen</v>
      </c>
      <c r="I194">
        <f>VLOOKUP(C194,Products!A:E,4,0)</f>
        <v>95</v>
      </c>
      <c r="J194" t="str">
        <f>_xlfn.XLOOKUP(B194,Customers!A:A,Customers!B:B)</f>
        <v>Rida Fatima</v>
      </c>
      <c r="K194" t="str">
        <f>_xlfn.XLOOKUP(B194,Customers!A:A,Customers!C:C)</f>
        <v>Rawalpindi</v>
      </c>
      <c r="L194" t="str">
        <f>_xlfn.XLOOKUP(B194,Customers!A:A,Customers!D:D)</f>
        <v>Silver</v>
      </c>
      <c r="M194">
        <f t="shared" si="2"/>
        <v>190</v>
      </c>
      <c r="N194" t="str">
        <f>_xlfn.XLOOKUP(C194,Products!A:A,Products!E:E)</f>
        <v>Rawalpindi</v>
      </c>
    </row>
    <row r="195" spans="1:14" x14ac:dyDescent="0.25">
      <c r="A195" t="s">
        <v>266</v>
      </c>
      <c r="B195" t="s">
        <v>110</v>
      </c>
      <c r="C195" t="s">
        <v>44</v>
      </c>
      <c r="D195">
        <v>1</v>
      </c>
      <c r="E195" s="1">
        <v>46209</v>
      </c>
      <c r="F195" t="s">
        <v>9</v>
      </c>
      <c r="G195" t="str">
        <f>VLOOKUP(C195,Products!A:E,2,0)</f>
        <v>Moisturizer</v>
      </c>
      <c r="H195" t="str">
        <f>VLOOKUP(C195,Products!A:E,3,0)</f>
        <v>Beauty</v>
      </c>
      <c r="I195">
        <f>VLOOKUP(C195,Products!A:E,4,0)</f>
        <v>25</v>
      </c>
      <c r="J195" t="str">
        <f>_xlfn.XLOOKUP(B195,Customers!A:A,Customers!B:B)</f>
        <v>Usman Sheikh</v>
      </c>
      <c r="K195" t="str">
        <f>_xlfn.XLOOKUP(B195,Customers!A:A,Customers!C:C)</f>
        <v>Rawalpindi</v>
      </c>
      <c r="L195" t="str">
        <f>_xlfn.XLOOKUP(B195,Customers!A:A,Customers!D:D)</f>
        <v>Silver</v>
      </c>
      <c r="M195">
        <f t="shared" ref="M195:M258" si="3">D195*I195</f>
        <v>25</v>
      </c>
      <c r="N195" t="str">
        <f>_xlfn.XLOOKUP(C195,Products!A:A,Products!E:E)</f>
        <v>Lahore</v>
      </c>
    </row>
    <row r="196" spans="1:14" x14ac:dyDescent="0.25">
      <c r="A196" t="s">
        <v>267</v>
      </c>
      <c r="B196" t="s">
        <v>112</v>
      </c>
      <c r="C196" t="s">
        <v>28</v>
      </c>
      <c r="D196">
        <v>3</v>
      </c>
      <c r="E196" s="1">
        <v>46210</v>
      </c>
      <c r="F196" t="s">
        <v>9</v>
      </c>
      <c r="G196" t="str">
        <f>VLOOKUP(C196,Products!A:E,2,0)</f>
        <v>Wireless Earbuds</v>
      </c>
      <c r="H196" t="str">
        <f>VLOOKUP(C196,Products!A:E,3,0)</f>
        <v>Electronics</v>
      </c>
      <c r="I196">
        <f>VLOOKUP(C196,Products!A:E,4,0)</f>
        <v>45</v>
      </c>
      <c r="J196" t="str">
        <f>_xlfn.XLOOKUP(B196,Customers!A:A,Customers!B:B)</f>
        <v>Hira Baig</v>
      </c>
      <c r="K196" t="str">
        <f>_xlfn.XLOOKUP(B196,Customers!A:A,Customers!C:C)</f>
        <v>Rawalpindi</v>
      </c>
      <c r="L196" t="str">
        <f>_xlfn.XLOOKUP(B196,Customers!A:A,Customers!D:D)</f>
        <v>Bronze</v>
      </c>
      <c r="M196">
        <f t="shared" si="3"/>
        <v>135</v>
      </c>
      <c r="N196" t="str">
        <f>_xlfn.XLOOKUP(C196,Products!A:A,Products!E:E)</f>
        <v>Lahore</v>
      </c>
    </row>
    <row r="197" spans="1:14" x14ac:dyDescent="0.25">
      <c r="A197" t="s">
        <v>268</v>
      </c>
      <c r="B197" t="s">
        <v>114</v>
      </c>
      <c r="C197" t="s">
        <v>47</v>
      </c>
      <c r="D197">
        <v>2</v>
      </c>
      <c r="E197" s="1">
        <v>46210</v>
      </c>
      <c r="F197" t="s">
        <v>29</v>
      </c>
      <c r="G197" t="str">
        <f>VLOOKUP(C197,Products!A:E,2,0)</f>
        <v>Blender</v>
      </c>
      <c r="H197" t="str">
        <f>VLOOKUP(C197,Products!A:E,3,0)</f>
        <v>Home &amp; Kitchen</v>
      </c>
      <c r="I197">
        <f>VLOOKUP(C197,Products!A:E,4,0)</f>
        <v>120</v>
      </c>
      <c r="J197" t="str">
        <f>_xlfn.XLOOKUP(B197,Customers!A:A,Customers!B:B)</f>
        <v>Hassan Butt</v>
      </c>
      <c r="K197" t="str">
        <f>_xlfn.XLOOKUP(B197,Customers!A:A,Customers!C:C)</f>
        <v>Lahore</v>
      </c>
      <c r="L197" t="str">
        <f>_xlfn.XLOOKUP(B197,Customers!A:A,Customers!D:D)</f>
        <v>Gold</v>
      </c>
      <c r="M197">
        <f t="shared" si="3"/>
        <v>240</v>
      </c>
      <c r="N197" t="str">
        <f>_xlfn.XLOOKUP(C197,Products!A:A,Products!E:E)</f>
        <v>Islamabad</v>
      </c>
    </row>
    <row r="198" spans="1:14" x14ac:dyDescent="0.25">
      <c r="A198" t="s">
        <v>269</v>
      </c>
      <c r="B198" t="s">
        <v>116</v>
      </c>
      <c r="C198" t="s">
        <v>8</v>
      </c>
      <c r="D198">
        <v>1</v>
      </c>
      <c r="E198" s="1">
        <v>46211</v>
      </c>
      <c r="F198" t="s">
        <v>9</v>
      </c>
      <c r="G198" t="str">
        <f>VLOOKUP(C198,Products!A:E,2,0)</f>
        <v>Laptop Stand</v>
      </c>
      <c r="H198" t="str">
        <f>VLOOKUP(C198,Products!A:E,3,0)</f>
        <v>Electronics</v>
      </c>
      <c r="I198">
        <f>VLOOKUP(C198,Products!A:E,4,0)</f>
        <v>40</v>
      </c>
      <c r="J198" t="str">
        <f>_xlfn.XLOOKUP(B198,Customers!A:A,Customers!B:B)</f>
        <v>Danish Khan</v>
      </c>
      <c r="K198" t="str">
        <f>_xlfn.XLOOKUP(B198,Customers!A:A,Customers!C:C)</f>
        <v>Faisalabad</v>
      </c>
      <c r="L198" t="str">
        <f>_xlfn.XLOOKUP(B198,Customers!A:A,Customers!D:D)</f>
        <v>Silver</v>
      </c>
      <c r="M198">
        <f t="shared" si="3"/>
        <v>40</v>
      </c>
      <c r="N198" t="str">
        <f>_xlfn.XLOOKUP(C198,Products!A:A,Products!E:E)</f>
        <v>Rawalpindi</v>
      </c>
    </row>
    <row r="199" spans="1:14" x14ac:dyDescent="0.25">
      <c r="A199" t="s">
        <v>270</v>
      </c>
      <c r="B199" t="s">
        <v>118</v>
      </c>
      <c r="C199" t="s">
        <v>53</v>
      </c>
      <c r="D199">
        <v>4</v>
      </c>
      <c r="E199" s="1">
        <v>46211</v>
      </c>
      <c r="F199" t="s">
        <v>9</v>
      </c>
      <c r="G199" t="str">
        <f>VLOOKUP(C199,Products!A:E,2,0)</f>
        <v>Night Cream</v>
      </c>
      <c r="H199" t="str">
        <f>VLOOKUP(C199,Products!A:E,3,0)</f>
        <v>Beauty</v>
      </c>
      <c r="I199">
        <f>VLOOKUP(C199,Products!A:E,4,0)</f>
        <v>40</v>
      </c>
      <c r="J199" t="str">
        <f>_xlfn.XLOOKUP(B199,Customers!A:A,Customers!B:B)</f>
        <v>Yusuf Khan</v>
      </c>
      <c r="K199" t="str">
        <f>_xlfn.XLOOKUP(B199,Customers!A:A,Customers!C:C)</f>
        <v>Islamabad</v>
      </c>
      <c r="L199" t="str">
        <f>_xlfn.XLOOKUP(B199,Customers!A:A,Customers!D:D)</f>
        <v>Silver</v>
      </c>
      <c r="M199">
        <f t="shared" si="3"/>
        <v>160</v>
      </c>
      <c r="N199" t="str">
        <f>_xlfn.XLOOKUP(C199,Products!A:A,Products!E:E)</f>
        <v>Faisalabad</v>
      </c>
    </row>
    <row r="200" spans="1:14" x14ac:dyDescent="0.25">
      <c r="A200" t="s">
        <v>271</v>
      </c>
      <c r="B200" t="s">
        <v>120</v>
      </c>
      <c r="C200" t="s">
        <v>25</v>
      </c>
      <c r="D200">
        <v>2</v>
      </c>
      <c r="E200" s="1">
        <v>46212</v>
      </c>
      <c r="F200" t="s">
        <v>9</v>
      </c>
      <c r="G200" t="str">
        <f>VLOOKUP(C200,Products!A:E,2,0)</f>
        <v>Sunscreen</v>
      </c>
      <c r="H200" t="str">
        <f>VLOOKUP(C200,Products!A:E,3,0)</f>
        <v>Beauty</v>
      </c>
      <c r="I200">
        <f>VLOOKUP(C200,Products!A:E,4,0)</f>
        <v>15</v>
      </c>
      <c r="J200" t="str">
        <f>_xlfn.XLOOKUP(B200,Customers!A:A,Customers!B:B)</f>
        <v>Lubna Shah</v>
      </c>
      <c r="K200" t="str">
        <f>_xlfn.XLOOKUP(B200,Customers!A:A,Customers!C:C)</f>
        <v>Karachi</v>
      </c>
      <c r="L200" t="str">
        <f>_xlfn.XLOOKUP(B200,Customers!A:A,Customers!D:D)</f>
        <v>Silver</v>
      </c>
      <c r="M200">
        <f t="shared" si="3"/>
        <v>30</v>
      </c>
      <c r="N200" t="str">
        <f>_xlfn.XLOOKUP(C200,Products!A:A,Products!E:E)</f>
        <v>Karachi</v>
      </c>
    </row>
    <row r="201" spans="1:14" x14ac:dyDescent="0.25">
      <c r="A201" t="s">
        <v>272</v>
      </c>
      <c r="B201" t="s">
        <v>122</v>
      </c>
      <c r="C201" t="s">
        <v>50</v>
      </c>
      <c r="D201">
        <v>1</v>
      </c>
      <c r="E201" s="1">
        <v>46212</v>
      </c>
      <c r="F201" t="s">
        <v>9</v>
      </c>
      <c r="G201" t="str">
        <f>VLOOKUP(C201,Products!A:E,2,0)</f>
        <v>Bluetooth Speaker</v>
      </c>
      <c r="H201" t="str">
        <f>VLOOKUP(C201,Products!A:E,3,0)</f>
        <v>Electronics</v>
      </c>
      <c r="I201">
        <f>VLOOKUP(C201,Products!A:E,4,0)</f>
        <v>95</v>
      </c>
      <c r="J201" t="str">
        <f>_xlfn.XLOOKUP(B201,Customers!A:A,Customers!B:B)</f>
        <v>Zeeshan Malik</v>
      </c>
      <c r="K201" t="str">
        <f>_xlfn.XLOOKUP(B201,Customers!A:A,Customers!C:C)</f>
        <v>Karachi</v>
      </c>
      <c r="L201" t="str">
        <f>_xlfn.XLOOKUP(B201,Customers!A:A,Customers!D:D)</f>
        <v>Gold</v>
      </c>
      <c r="M201">
        <f t="shared" si="3"/>
        <v>95</v>
      </c>
      <c r="N201" t="str">
        <f>_xlfn.XLOOKUP(C201,Products!A:A,Products!E:E)</f>
        <v>Karachi</v>
      </c>
    </row>
    <row r="202" spans="1:14" x14ac:dyDescent="0.25">
      <c r="A202" t="s">
        <v>273</v>
      </c>
      <c r="B202" t="s">
        <v>7</v>
      </c>
      <c r="C202" t="s">
        <v>18</v>
      </c>
      <c r="D202">
        <v>3</v>
      </c>
      <c r="E202" s="1">
        <v>46213</v>
      </c>
      <c r="F202" t="s">
        <v>9</v>
      </c>
      <c r="G202" t="str">
        <f>VLOOKUP(C202,Products!A:E,2,0)</f>
        <v>Hair Serum</v>
      </c>
      <c r="H202" t="str">
        <f>VLOOKUP(C202,Products!A:E,3,0)</f>
        <v>Beauty</v>
      </c>
      <c r="I202">
        <f>VLOOKUP(C202,Products!A:E,4,0)</f>
        <v>35</v>
      </c>
      <c r="J202" t="str">
        <f>_xlfn.XLOOKUP(B202,Customers!A:A,Customers!B:B)</f>
        <v>Mariam Javed</v>
      </c>
      <c r="K202" t="str">
        <f>_xlfn.XLOOKUP(B202,Customers!A:A,Customers!C:C)</f>
        <v>Rawalpindi</v>
      </c>
      <c r="L202" t="str">
        <f>_xlfn.XLOOKUP(B202,Customers!A:A,Customers!D:D)</f>
        <v>Bronze</v>
      </c>
      <c r="M202">
        <f t="shared" si="3"/>
        <v>105</v>
      </c>
      <c r="N202" t="str">
        <f>_xlfn.XLOOKUP(C202,Products!A:A,Products!E:E)</f>
        <v>Islamabad</v>
      </c>
    </row>
    <row r="203" spans="1:14" x14ac:dyDescent="0.25">
      <c r="A203" t="s">
        <v>274</v>
      </c>
      <c r="B203" t="s">
        <v>11</v>
      </c>
      <c r="C203" t="s">
        <v>12</v>
      </c>
      <c r="D203">
        <v>2</v>
      </c>
      <c r="E203" s="1">
        <v>46213</v>
      </c>
      <c r="F203" t="s">
        <v>9</v>
      </c>
      <c r="G203" t="str">
        <f>VLOOKUP(C203,Products!A:E,2,0)</f>
        <v>Air Fryer</v>
      </c>
      <c r="H203" t="str">
        <f>VLOOKUP(C203,Products!A:E,3,0)</f>
        <v>Home &amp; Kitchen</v>
      </c>
      <c r="I203">
        <f>VLOOKUP(C203,Products!A:E,4,0)</f>
        <v>150</v>
      </c>
      <c r="J203" t="str">
        <f>_xlfn.XLOOKUP(B203,Customers!A:A,Customers!B:B)</f>
        <v>Rabia Tariq</v>
      </c>
      <c r="K203" t="str">
        <f>_xlfn.XLOOKUP(B203,Customers!A:A,Customers!C:C)</f>
        <v>Karachi</v>
      </c>
      <c r="L203" t="str">
        <f>_xlfn.XLOOKUP(B203,Customers!A:A,Customers!D:D)</f>
        <v>Gold</v>
      </c>
      <c r="M203">
        <f t="shared" si="3"/>
        <v>300</v>
      </c>
      <c r="N203" t="str">
        <f>_xlfn.XLOOKUP(C203,Products!A:A,Products!E:E)</f>
        <v>Lahore</v>
      </c>
    </row>
    <row r="204" spans="1:14" x14ac:dyDescent="0.25">
      <c r="A204" t="s">
        <v>275</v>
      </c>
      <c r="B204" t="s">
        <v>14</v>
      </c>
      <c r="C204" t="s">
        <v>15</v>
      </c>
      <c r="D204">
        <v>1</v>
      </c>
      <c r="E204" s="1">
        <v>46214</v>
      </c>
      <c r="F204" t="s">
        <v>9</v>
      </c>
      <c r="G204" t="str">
        <f>VLOOKUP(C204,Products!A:E,2,0)</f>
        <v>Phone Case</v>
      </c>
      <c r="H204" t="str">
        <f>VLOOKUP(C204,Products!A:E,3,0)</f>
        <v>Electronics</v>
      </c>
      <c r="I204">
        <f>VLOOKUP(C204,Products!A:E,4,0)</f>
        <v>12</v>
      </c>
      <c r="J204" t="str">
        <f>_xlfn.XLOOKUP(B204,Customers!A:A,Customers!B:B)</f>
        <v>Omar Tariq</v>
      </c>
      <c r="K204" t="str">
        <f>_xlfn.XLOOKUP(B204,Customers!A:A,Customers!C:C)</f>
        <v>Karachi</v>
      </c>
      <c r="L204" t="str">
        <f>_xlfn.XLOOKUP(B204,Customers!A:A,Customers!D:D)</f>
        <v>Gold</v>
      </c>
      <c r="M204">
        <f t="shared" si="3"/>
        <v>12</v>
      </c>
      <c r="N204" t="str">
        <f>_xlfn.XLOOKUP(C204,Products!A:A,Products!E:E)</f>
        <v>Islamabad</v>
      </c>
    </row>
    <row r="205" spans="1:14" x14ac:dyDescent="0.25">
      <c r="A205" t="s">
        <v>276</v>
      </c>
      <c r="B205" t="s">
        <v>17</v>
      </c>
      <c r="C205" t="s">
        <v>32</v>
      </c>
      <c r="D205">
        <v>4</v>
      </c>
      <c r="E205" s="1">
        <v>46214</v>
      </c>
      <c r="F205" t="s">
        <v>19</v>
      </c>
      <c r="G205" t="str">
        <f>VLOOKUP(C205,Products!A:E,2,0)</f>
        <v>Coffee Maker</v>
      </c>
      <c r="H205" t="str">
        <f>VLOOKUP(C205,Products!A:E,3,0)</f>
        <v>Home &amp; Kitchen</v>
      </c>
      <c r="I205">
        <f>VLOOKUP(C205,Products!A:E,4,0)</f>
        <v>110</v>
      </c>
      <c r="J205" t="str">
        <f>_xlfn.XLOOKUP(B205,Customers!A:A,Customers!B:B)</f>
        <v>Faisal Chaudhry</v>
      </c>
      <c r="K205" t="str">
        <f>_xlfn.XLOOKUP(B205,Customers!A:A,Customers!C:C)</f>
        <v>Islamabad</v>
      </c>
      <c r="L205" t="str">
        <f>_xlfn.XLOOKUP(B205,Customers!A:A,Customers!D:D)</f>
        <v>Bronze</v>
      </c>
      <c r="M205">
        <f t="shared" si="3"/>
        <v>440</v>
      </c>
      <c r="N205" t="str">
        <f>_xlfn.XLOOKUP(C205,Products!A:A,Products!E:E)</f>
        <v>Karachi</v>
      </c>
    </row>
    <row r="206" spans="1:14" x14ac:dyDescent="0.25">
      <c r="A206" t="s">
        <v>277</v>
      </c>
      <c r="B206" t="s">
        <v>21</v>
      </c>
      <c r="C206" t="s">
        <v>35</v>
      </c>
      <c r="D206">
        <v>2</v>
      </c>
      <c r="E206" s="1">
        <v>46215</v>
      </c>
      <c r="F206" t="s">
        <v>9</v>
      </c>
      <c r="G206" t="str">
        <f>VLOOKUP(C206,Products!A:E,2,0)</f>
        <v>Face Serum</v>
      </c>
      <c r="H206" t="str">
        <f>VLOOKUP(C206,Products!A:E,3,0)</f>
        <v>Beauty</v>
      </c>
      <c r="I206">
        <f>VLOOKUP(C206,Products!A:E,4,0)</f>
        <v>30</v>
      </c>
      <c r="J206" t="str">
        <f>_xlfn.XLOOKUP(B206,Customers!A:A,Customers!B:B)</f>
        <v>Maryam Shah</v>
      </c>
      <c r="K206" t="str">
        <f>_xlfn.XLOOKUP(B206,Customers!A:A,Customers!C:C)</f>
        <v>Karachi</v>
      </c>
      <c r="L206" t="str">
        <f>_xlfn.XLOOKUP(B206,Customers!A:A,Customers!D:D)</f>
        <v>Bronze</v>
      </c>
      <c r="M206">
        <f t="shared" si="3"/>
        <v>60</v>
      </c>
      <c r="N206" t="str">
        <f>_xlfn.XLOOKUP(C206,Products!A:A,Products!E:E)</f>
        <v>Lahore</v>
      </c>
    </row>
    <row r="207" spans="1:14" x14ac:dyDescent="0.25">
      <c r="A207" t="s">
        <v>278</v>
      </c>
      <c r="B207" t="s">
        <v>24</v>
      </c>
      <c r="C207" t="s">
        <v>38</v>
      </c>
      <c r="D207">
        <v>1</v>
      </c>
      <c r="E207" s="1">
        <v>46215</v>
      </c>
      <c r="F207" t="s">
        <v>9</v>
      </c>
      <c r="G207" t="str">
        <f>VLOOKUP(C207,Products!A:E,2,0)</f>
        <v>Rice Cooker</v>
      </c>
      <c r="H207" t="str">
        <f>VLOOKUP(C207,Products!A:E,3,0)</f>
        <v>Home &amp; Kitchen</v>
      </c>
      <c r="I207">
        <f>VLOOKUP(C207,Products!A:E,4,0)</f>
        <v>95</v>
      </c>
      <c r="J207" t="str">
        <f>_xlfn.XLOOKUP(B207,Customers!A:A,Customers!B:B)</f>
        <v>Bilal Raza</v>
      </c>
      <c r="K207" t="str">
        <f>_xlfn.XLOOKUP(B207,Customers!A:A,Customers!C:C)</f>
        <v>Islamabad</v>
      </c>
      <c r="L207" t="str">
        <f>_xlfn.XLOOKUP(B207,Customers!A:A,Customers!D:D)</f>
        <v>Bronze</v>
      </c>
      <c r="M207">
        <f t="shared" si="3"/>
        <v>95</v>
      </c>
      <c r="N207" t="str">
        <f>_xlfn.XLOOKUP(C207,Products!A:A,Products!E:E)</f>
        <v>Rawalpindi</v>
      </c>
    </row>
    <row r="208" spans="1:14" x14ac:dyDescent="0.25">
      <c r="A208" t="s">
        <v>279</v>
      </c>
      <c r="B208" t="s">
        <v>27</v>
      </c>
      <c r="C208" t="s">
        <v>44</v>
      </c>
      <c r="D208">
        <v>3</v>
      </c>
      <c r="E208" s="1">
        <v>46216</v>
      </c>
      <c r="F208" t="s">
        <v>9</v>
      </c>
      <c r="G208" t="str">
        <f>VLOOKUP(C208,Products!A:E,2,0)</f>
        <v>Moisturizer</v>
      </c>
      <c r="H208" t="str">
        <f>VLOOKUP(C208,Products!A:E,3,0)</f>
        <v>Beauty</v>
      </c>
      <c r="I208">
        <f>VLOOKUP(C208,Products!A:E,4,0)</f>
        <v>25</v>
      </c>
      <c r="J208" t="str">
        <f>_xlfn.XLOOKUP(B208,Customers!A:A,Customers!B:B)</f>
        <v>Amna Rizvi</v>
      </c>
      <c r="K208" t="str">
        <f>_xlfn.XLOOKUP(B208,Customers!A:A,Customers!C:C)</f>
        <v>Lahore</v>
      </c>
      <c r="L208" t="str">
        <f>_xlfn.XLOOKUP(B208,Customers!A:A,Customers!D:D)</f>
        <v>Bronze</v>
      </c>
      <c r="M208">
        <f t="shared" si="3"/>
        <v>75</v>
      </c>
      <c r="N208" t="str">
        <f>_xlfn.XLOOKUP(C208,Products!A:A,Products!E:E)</f>
        <v>Lahore</v>
      </c>
    </row>
    <row r="209" spans="1:14" x14ac:dyDescent="0.25">
      <c r="A209" t="s">
        <v>280</v>
      </c>
      <c r="B209" t="s">
        <v>31</v>
      </c>
      <c r="C209" t="s">
        <v>28</v>
      </c>
      <c r="D209">
        <v>2</v>
      </c>
      <c r="E209" s="1">
        <v>46216</v>
      </c>
      <c r="F209" t="s">
        <v>9</v>
      </c>
      <c r="G209" t="str">
        <f>VLOOKUP(C209,Products!A:E,2,0)</f>
        <v>Wireless Earbuds</v>
      </c>
      <c r="H209" t="str">
        <f>VLOOKUP(C209,Products!A:E,3,0)</f>
        <v>Electronics</v>
      </c>
      <c r="I209">
        <f>VLOOKUP(C209,Products!A:E,4,0)</f>
        <v>45</v>
      </c>
      <c r="J209" t="str">
        <f>_xlfn.XLOOKUP(B209,Customers!A:A,Customers!B:B)</f>
        <v>Sana Malik</v>
      </c>
      <c r="K209" t="str">
        <f>_xlfn.XLOOKUP(B209,Customers!A:A,Customers!C:C)</f>
        <v>Lahore</v>
      </c>
      <c r="L209" t="str">
        <f>_xlfn.XLOOKUP(B209,Customers!A:A,Customers!D:D)</f>
        <v>Silver</v>
      </c>
      <c r="M209">
        <f t="shared" si="3"/>
        <v>90</v>
      </c>
      <c r="N209" t="str">
        <f>_xlfn.XLOOKUP(C209,Products!A:A,Products!E:E)</f>
        <v>Lahore</v>
      </c>
    </row>
    <row r="210" spans="1:14" x14ac:dyDescent="0.25">
      <c r="A210" t="s">
        <v>281</v>
      </c>
      <c r="B210" t="s">
        <v>34</v>
      </c>
      <c r="C210" t="s">
        <v>47</v>
      </c>
      <c r="D210">
        <v>1</v>
      </c>
      <c r="E210" s="1">
        <v>46217</v>
      </c>
      <c r="F210" t="s">
        <v>9</v>
      </c>
      <c r="G210" t="str">
        <f>VLOOKUP(C210,Products!A:E,2,0)</f>
        <v>Blender</v>
      </c>
      <c r="H210" t="str">
        <f>VLOOKUP(C210,Products!A:E,3,0)</f>
        <v>Home &amp; Kitchen</v>
      </c>
      <c r="I210">
        <f>VLOOKUP(C210,Products!A:E,4,0)</f>
        <v>120</v>
      </c>
      <c r="J210" t="str">
        <f>_xlfn.XLOOKUP(B210,Customers!A:A,Customers!B:B)</f>
        <v>Farah Noor</v>
      </c>
      <c r="K210" t="str">
        <f>_xlfn.XLOOKUP(B210,Customers!A:A,Customers!C:C)</f>
        <v>Karachi</v>
      </c>
      <c r="L210" t="str">
        <f>_xlfn.XLOOKUP(B210,Customers!A:A,Customers!D:D)</f>
        <v>Silver</v>
      </c>
      <c r="M210">
        <f t="shared" si="3"/>
        <v>120</v>
      </c>
      <c r="N210" t="str">
        <f>_xlfn.XLOOKUP(C210,Products!A:A,Products!E:E)</f>
        <v>Islamabad</v>
      </c>
    </row>
    <row r="211" spans="1:14" x14ac:dyDescent="0.25">
      <c r="A211" t="s">
        <v>282</v>
      </c>
      <c r="B211" t="s">
        <v>37</v>
      </c>
      <c r="C211" t="s">
        <v>8</v>
      </c>
      <c r="D211">
        <v>4</v>
      </c>
      <c r="E211" s="1">
        <v>46217</v>
      </c>
      <c r="F211" t="s">
        <v>9</v>
      </c>
      <c r="G211" t="str">
        <f>VLOOKUP(C211,Products!A:E,2,0)</f>
        <v>Laptop Stand</v>
      </c>
      <c r="H211" t="str">
        <f>VLOOKUP(C211,Products!A:E,3,0)</f>
        <v>Electronics</v>
      </c>
      <c r="I211">
        <f>VLOOKUP(C211,Products!A:E,4,0)</f>
        <v>40</v>
      </c>
      <c r="J211" t="str">
        <f>_xlfn.XLOOKUP(B211,Customers!A:A,Customers!B:B)</f>
        <v>Talha Mirza</v>
      </c>
      <c r="K211" t="str">
        <f>_xlfn.XLOOKUP(B211,Customers!A:A,Customers!C:C)</f>
        <v>Lahore</v>
      </c>
      <c r="L211" t="str">
        <f>_xlfn.XLOOKUP(B211,Customers!A:A,Customers!D:D)</f>
        <v>Bronze</v>
      </c>
      <c r="M211">
        <f t="shared" si="3"/>
        <v>160</v>
      </c>
      <c r="N211" t="str">
        <f>_xlfn.XLOOKUP(C211,Products!A:A,Products!E:E)</f>
        <v>Rawalpindi</v>
      </c>
    </row>
    <row r="212" spans="1:14" x14ac:dyDescent="0.25">
      <c r="A212" t="s">
        <v>283</v>
      </c>
      <c r="B212" t="s">
        <v>40</v>
      </c>
      <c r="C212" t="s">
        <v>53</v>
      </c>
      <c r="D212">
        <v>2</v>
      </c>
      <c r="E212" s="1">
        <v>46218</v>
      </c>
      <c r="F212" t="s">
        <v>9</v>
      </c>
      <c r="G212" t="str">
        <f>VLOOKUP(C212,Products!A:E,2,0)</f>
        <v>Night Cream</v>
      </c>
      <c r="H212" t="str">
        <f>VLOOKUP(C212,Products!A:E,3,0)</f>
        <v>Beauty</v>
      </c>
      <c r="I212">
        <f>VLOOKUP(C212,Products!A:E,4,0)</f>
        <v>40</v>
      </c>
      <c r="J212" t="str">
        <f>_xlfn.XLOOKUP(B212,Customers!A:A,Customers!B:B)</f>
        <v>Ayesha Siddiqui</v>
      </c>
      <c r="K212" t="str">
        <f>_xlfn.XLOOKUP(B212,Customers!A:A,Customers!C:C)</f>
        <v>Islamabad</v>
      </c>
      <c r="L212" t="str">
        <f>_xlfn.XLOOKUP(B212,Customers!A:A,Customers!D:D)</f>
        <v>Silver</v>
      </c>
      <c r="M212">
        <f t="shared" si="3"/>
        <v>80</v>
      </c>
      <c r="N212" t="str">
        <f>_xlfn.XLOOKUP(C212,Products!A:A,Products!E:E)</f>
        <v>Faisalabad</v>
      </c>
    </row>
    <row r="213" spans="1:14" x14ac:dyDescent="0.25">
      <c r="A213" t="s">
        <v>284</v>
      </c>
      <c r="B213" t="s">
        <v>43</v>
      </c>
      <c r="C213" t="s">
        <v>25</v>
      </c>
      <c r="D213">
        <v>1</v>
      </c>
      <c r="E213" s="1">
        <v>46218</v>
      </c>
      <c r="F213" t="s">
        <v>9</v>
      </c>
      <c r="G213" t="str">
        <f>VLOOKUP(C213,Products!A:E,2,0)</f>
        <v>Sunscreen</v>
      </c>
      <c r="H213" t="str">
        <f>VLOOKUP(C213,Products!A:E,3,0)</f>
        <v>Beauty</v>
      </c>
      <c r="I213">
        <f>VLOOKUP(C213,Products!A:E,4,0)</f>
        <v>15</v>
      </c>
      <c r="J213" t="str">
        <f>_xlfn.XLOOKUP(B213,Customers!A:A,Customers!B:B)</f>
        <v>Ali Hussain</v>
      </c>
      <c r="K213" t="str">
        <f>_xlfn.XLOOKUP(B213,Customers!A:A,Customers!C:C)</f>
        <v>Karachi</v>
      </c>
      <c r="L213" t="str">
        <f>_xlfn.XLOOKUP(B213,Customers!A:A,Customers!D:D)</f>
        <v>Gold</v>
      </c>
      <c r="M213">
        <f t="shared" si="3"/>
        <v>15</v>
      </c>
      <c r="N213" t="str">
        <f>_xlfn.XLOOKUP(C213,Products!A:A,Products!E:E)</f>
        <v>Karachi</v>
      </c>
    </row>
    <row r="214" spans="1:14" x14ac:dyDescent="0.25">
      <c r="A214" t="s">
        <v>285</v>
      </c>
      <c r="B214" t="s">
        <v>46</v>
      </c>
      <c r="C214" t="s">
        <v>50</v>
      </c>
      <c r="D214">
        <v>3</v>
      </c>
      <c r="E214" s="1">
        <v>46219</v>
      </c>
      <c r="F214" t="s">
        <v>9</v>
      </c>
      <c r="G214" t="str">
        <f>VLOOKUP(C214,Products!A:E,2,0)</f>
        <v>Bluetooth Speaker</v>
      </c>
      <c r="H214" t="str">
        <f>VLOOKUP(C214,Products!A:E,3,0)</f>
        <v>Electronics</v>
      </c>
      <c r="I214">
        <f>VLOOKUP(C214,Products!A:E,4,0)</f>
        <v>95</v>
      </c>
      <c r="J214" t="str">
        <f>_xlfn.XLOOKUP(B214,Customers!A:A,Customers!B:B)</f>
        <v>Noor Fatima</v>
      </c>
      <c r="K214" t="str">
        <f>_xlfn.XLOOKUP(B214,Customers!A:A,Customers!C:C)</f>
        <v>Lahore</v>
      </c>
      <c r="L214" t="str">
        <f>_xlfn.XLOOKUP(B214,Customers!A:A,Customers!D:D)</f>
        <v>Gold</v>
      </c>
      <c r="M214">
        <f t="shared" si="3"/>
        <v>285</v>
      </c>
      <c r="N214" t="str">
        <f>_xlfn.XLOOKUP(C214,Products!A:A,Products!E:E)</f>
        <v>Karachi</v>
      </c>
    </row>
    <row r="215" spans="1:14" x14ac:dyDescent="0.25">
      <c r="A215" t="s">
        <v>286</v>
      </c>
      <c r="B215" t="s">
        <v>49</v>
      </c>
      <c r="C215" t="s">
        <v>18</v>
      </c>
      <c r="D215">
        <v>2</v>
      </c>
      <c r="E215" s="1">
        <v>46219</v>
      </c>
      <c r="F215" t="s">
        <v>9</v>
      </c>
      <c r="G215" t="str">
        <f>VLOOKUP(C215,Products!A:E,2,0)</f>
        <v>Hair Serum</v>
      </c>
      <c r="H215" t="str">
        <f>VLOOKUP(C215,Products!A:E,3,0)</f>
        <v>Beauty</v>
      </c>
      <c r="I215">
        <f>VLOOKUP(C215,Products!A:E,4,0)</f>
        <v>35</v>
      </c>
      <c r="J215" t="str">
        <f>_xlfn.XLOOKUP(B215,Customers!A:A,Customers!B:B)</f>
        <v>Zainab Hussain</v>
      </c>
      <c r="K215" t="str">
        <f>_xlfn.XLOOKUP(B215,Customers!A:A,Customers!C:C)</f>
        <v>Lahore</v>
      </c>
      <c r="L215" t="str">
        <f>_xlfn.XLOOKUP(B215,Customers!A:A,Customers!D:D)</f>
        <v>Bronze</v>
      </c>
      <c r="M215">
        <f t="shared" si="3"/>
        <v>70</v>
      </c>
      <c r="N215" t="str">
        <f>_xlfn.XLOOKUP(C215,Products!A:A,Products!E:E)</f>
        <v>Islamabad</v>
      </c>
    </row>
    <row r="216" spans="1:14" x14ac:dyDescent="0.25">
      <c r="A216" t="s">
        <v>287</v>
      </c>
      <c r="B216" t="s">
        <v>52</v>
      </c>
      <c r="C216" t="s">
        <v>12</v>
      </c>
      <c r="D216">
        <v>1</v>
      </c>
      <c r="E216" s="1">
        <v>46220</v>
      </c>
      <c r="F216" t="s">
        <v>19</v>
      </c>
      <c r="G216" t="str">
        <f>VLOOKUP(C216,Products!A:E,2,0)</f>
        <v>Air Fryer</v>
      </c>
      <c r="H216" t="str">
        <f>VLOOKUP(C216,Products!A:E,3,0)</f>
        <v>Home &amp; Kitchen</v>
      </c>
      <c r="I216">
        <f>VLOOKUP(C216,Products!A:E,4,0)</f>
        <v>150</v>
      </c>
      <c r="J216" t="str">
        <f>_xlfn.XLOOKUP(B216,Customers!A:A,Customers!B:B)</f>
        <v>Bilal Sheikh</v>
      </c>
      <c r="K216" t="str">
        <f>_xlfn.XLOOKUP(B216,Customers!A:A,Customers!C:C)</f>
        <v>Rawalpindi</v>
      </c>
      <c r="L216" t="str">
        <f>_xlfn.XLOOKUP(B216,Customers!A:A,Customers!D:D)</f>
        <v>Bronze</v>
      </c>
      <c r="M216">
        <f t="shared" si="3"/>
        <v>150</v>
      </c>
      <c r="N216" t="str">
        <f>_xlfn.XLOOKUP(C216,Products!A:A,Products!E:E)</f>
        <v>Lahore</v>
      </c>
    </row>
    <row r="217" spans="1:14" x14ac:dyDescent="0.25">
      <c r="A217" t="s">
        <v>288</v>
      </c>
      <c r="B217" t="s">
        <v>55</v>
      </c>
      <c r="C217" t="s">
        <v>15</v>
      </c>
      <c r="D217">
        <v>4</v>
      </c>
      <c r="E217" s="1">
        <v>46220</v>
      </c>
      <c r="F217" t="s">
        <v>9</v>
      </c>
      <c r="G217" t="str">
        <f>VLOOKUP(C217,Products!A:E,2,0)</f>
        <v>Phone Case</v>
      </c>
      <c r="H217" t="str">
        <f>VLOOKUP(C217,Products!A:E,3,0)</f>
        <v>Electronics</v>
      </c>
      <c r="I217">
        <f>VLOOKUP(C217,Products!A:E,4,0)</f>
        <v>12</v>
      </c>
      <c r="J217" t="str">
        <f>_xlfn.XLOOKUP(B217,Customers!A:A,Customers!B:B)</f>
        <v>Omer Farooq</v>
      </c>
      <c r="K217" t="str">
        <f>_xlfn.XLOOKUP(B217,Customers!A:A,Customers!C:C)</f>
        <v>Islamabad</v>
      </c>
      <c r="L217" t="str">
        <f>_xlfn.XLOOKUP(B217,Customers!A:A,Customers!D:D)</f>
        <v>Silver</v>
      </c>
      <c r="M217">
        <f t="shared" si="3"/>
        <v>48</v>
      </c>
      <c r="N217" t="str">
        <f>_xlfn.XLOOKUP(C217,Products!A:A,Products!E:E)</f>
        <v>Islamabad</v>
      </c>
    </row>
    <row r="218" spans="1:14" x14ac:dyDescent="0.25">
      <c r="A218" t="s">
        <v>289</v>
      </c>
      <c r="B218" t="s">
        <v>57</v>
      </c>
      <c r="C218" t="s">
        <v>32</v>
      </c>
      <c r="D218">
        <v>2</v>
      </c>
      <c r="E218" s="1">
        <v>46221</v>
      </c>
      <c r="F218" t="s">
        <v>9</v>
      </c>
      <c r="G218" t="str">
        <f>VLOOKUP(C218,Products!A:E,2,0)</f>
        <v>Coffee Maker</v>
      </c>
      <c r="H218" t="str">
        <f>VLOOKUP(C218,Products!A:E,3,0)</f>
        <v>Home &amp; Kitchen</v>
      </c>
      <c r="I218">
        <f>VLOOKUP(C218,Products!A:E,4,0)</f>
        <v>110</v>
      </c>
      <c r="J218" t="str">
        <f>_xlfn.XLOOKUP(B218,Customers!A:A,Customers!B:B)</f>
        <v>Hamza Tariq</v>
      </c>
      <c r="K218" t="str">
        <f>_xlfn.XLOOKUP(B218,Customers!A:A,Customers!C:C)</f>
        <v>Karachi</v>
      </c>
      <c r="L218" t="str">
        <f>_xlfn.XLOOKUP(B218,Customers!A:A,Customers!D:D)</f>
        <v>Silver</v>
      </c>
      <c r="M218">
        <f t="shared" si="3"/>
        <v>220</v>
      </c>
      <c r="N218" t="str">
        <f>_xlfn.XLOOKUP(C218,Products!A:A,Products!E:E)</f>
        <v>Karachi</v>
      </c>
    </row>
    <row r="219" spans="1:14" x14ac:dyDescent="0.25">
      <c r="A219" t="s">
        <v>290</v>
      </c>
      <c r="B219" t="s">
        <v>59</v>
      </c>
      <c r="C219" t="s">
        <v>35</v>
      </c>
      <c r="D219">
        <v>1</v>
      </c>
      <c r="E219" s="1">
        <v>46221</v>
      </c>
      <c r="F219" t="s">
        <v>9</v>
      </c>
      <c r="G219" t="str">
        <f>VLOOKUP(C219,Products!A:E,2,0)</f>
        <v>Face Serum</v>
      </c>
      <c r="H219" t="str">
        <f>VLOOKUP(C219,Products!A:E,3,0)</f>
        <v>Beauty</v>
      </c>
      <c r="I219">
        <f>VLOOKUP(C219,Products!A:E,4,0)</f>
        <v>30</v>
      </c>
      <c r="J219" t="str">
        <f>_xlfn.XLOOKUP(B219,Customers!A:A,Customers!B:B)</f>
        <v>Tariq Mehmood</v>
      </c>
      <c r="K219" t="str">
        <f>_xlfn.XLOOKUP(B219,Customers!A:A,Customers!C:C)</f>
        <v>Islamabad</v>
      </c>
      <c r="L219" t="str">
        <f>_xlfn.XLOOKUP(B219,Customers!A:A,Customers!D:D)</f>
        <v>Gold</v>
      </c>
      <c r="M219">
        <f t="shared" si="3"/>
        <v>30</v>
      </c>
      <c r="N219" t="str">
        <f>_xlfn.XLOOKUP(C219,Products!A:A,Products!E:E)</f>
        <v>Lahore</v>
      </c>
    </row>
    <row r="220" spans="1:14" x14ac:dyDescent="0.25">
      <c r="A220" t="s">
        <v>291</v>
      </c>
      <c r="B220" t="s">
        <v>61</v>
      </c>
      <c r="C220" t="s">
        <v>38</v>
      </c>
      <c r="D220">
        <v>3</v>
      </c>
      <c r="E220" s="1">
        <v>46222</v>
      </c>
      <c r="F220" t="s">
        <v>9</v>
      </c>
      <c r="G220" t="str">
        <f>VLOOKUP(C220,Products!A:E,2,0)</f>
        <v>Rice Cooker</v>
      </c>
      <c r="H220" t="str">
        <f>VLOOKUP(C220,Products!A:E,3,0)</f>
        <v>Home &amp; Kitchen</v>
      </c>
      <c r="I220">
        <f>VLOOKUP(C220,Products!A:E,4,0)</f>
        <v>95</v>
      </c>
      <c r="J220" t="str">
        <f>_xlfn.XLOOKUP(B220,Customers!A:A,Customers!B:B)</f>
        <v>Sara Ali</v>
      </c>
      <c r="K220" t="str">
        <f>_xlfn.XLOOKUP(B220,Customers!A:A,Customers!C:C)</f>
        <v>Lahore</v>
      </c>
      <c r="L220" t="str">
        <f>_xlfn.XLOOKUP(B220,Customers!A:A,Customers!D:D)</f>
        <v>Silver</v>
      </c>
      <c r="M220">
        <f t="shared" si="3"/>
        <v>285</v>
      </c>
      <c r="N220" t="str">
        <f>_xlfn.XLOOKUP(C220,Products!A:A,Products!E:E)</f>
        <v>Rawalpindi</v>
      </c>
    </row>
    <row r="221" spans="1:14" x14ac:dyDescent="0.25">
      <c r="A221" t="s">
        <v>292</v>
      </c>
      <c r="B221" t="s">
        <v>63</v>
      </c>
      <c r="C221" t="s">
        <v>44</v>
      </c>
      <c r="D221">
        <v>2</v>
      </c>
      <c r="E221" s="1">
        <v>46222</v>
      </c>
      <c r="F221" t="s">
        <v>9</v>
      </c>
      <c r="G221" t="str">
        <f>VLOOKUP(C221,Products!A:E,2,0)</f>
        <v>Moisturizer</v>
      </c>
      <c r="H221" t="str">
        <f>VLOOKUP(C221,Products!A:E,3,0)</f>
        <v>Beauty</v>
      </c>
      <c r="I221">
        <f>VLOOKUP(C221,Products!A:E,4,0)</f>
        <v>25</v>
      </c>
      <c r="J221" t="str">
        <f>_xlfn.XLOOKUP(B221,Customers!A:A,Customers!B:B)</f>
        <v>Zara Malik</v>
      </c>
      <c r="K221" t="str">
        <f>_xlfn.XLOOKUP(B221,Customers!A:A,Customers!C:C)</f>
        <v>Islamabad</v>
      </c>
      <c r="L221" t="str">
        <f>_xlfn.XLOOKUP(B221,Customers!A:A,Customers!D:D)</f>
        <v>Bronze</v>
      </c>
      <c r="M221">
        <f t="shared" si="3"/>
        <v>50</v>
      </c>
      <c r="N221" t="str">
        <f>_xlfn.XLOOKUP(C221,Products!A:A,Products!E:E)</f>
        <v>Lahore</v>
      </c>
    </row>
    <row r="222" spans="1:14" x14ac:dyDescent="0.25">
      <c r="A222" t="s">
        <v>293</v>
      </c>
      <c r="B222" t="s">
        <v>65</v>
      </c>
      <c r="C222" t="s">
        <v>28</v>
      </c>
      <c r="D222">
        <v>1</v>
      </c>
      <c r="E222" s="1">
        <v>46223</v>
      </c>
      <c r="F222" t="s">
        <v>9</v>
      </c>
      <c r="G222" t="str">
        <f>VLOOKUP(C222,Products!A:E,2,0)</f>
        <v>Wireless Earbuds</v>
      </c>
      <c r="H222" t="str">
        <f>VLOOKUP(C222,Products!A:E,3,0)</f>
        <v>Electronics</v>
      </c>
      <c r="I222">
        <f>VLOOKUP(C222,Products!A:E,4,0)</f>
        <v>45</v>
      </c>
      <c r="J222" t="str">
        <f>_xlfn.XLOOKUP(B222,Customers!A:A,Customers!B:B)</f>
        <v>Rabia Noor</v>
      </c>
      <c r="K222" t="str">
        <f>_xlfn.XLOOKUP(B222,Customers!A:A,Customers!C:C)</f>
        <v>Karachi</v>
      </c>
      <c r="L222" t="str">
        <f>_xlfn.XLOOKUP(B222,Customers!A:A,Customers!D:D)</f>
        <v>Gold</v>
      </c>
      <c r="M222">
        <f t="shared" si="3"/>
        <v>45</v>
      </c>
      <c r="N222" t="str">
        <f>_xlfn.XLOOKUP(C222,Products!A:A,Products!E:E)</f>
        <v>Lahore</v>
      </c>
    </row>
    <row r="223" spans="1:14" x14ac:dyDescent="0.25">
      <c r="A223" t="s">
        <v>294</v>
      </c>
      <c r="B223" t="s">
        <v>67</v>
      </c>
      <c r="C223" t="s">
        <v>47</v>
      </c>
      <c r="D223">
        <v>4</v>
      </c>
      <c r="E223" s="1">
        <v>46223</v>
      </c>
      <c r="F223" t="s">
        <v>9</v>
      </c>
      <c r="G223" t="str">
        <f>VLOOKUP(C223,Products!A:E,2,0)</f>
        <v>Blender</v>
      </c>
      <c r="H223" t="str">
        <f>VLOOKUP(C223,Products!A:E,3,0)</f>
        <v>Home &amp; Kitchen</v>
      </c>
      <c r="I223">
        <f>VLOOKUP(C223,Products!A:E,4,0)</f>
        <v>120</v>
      </c>
      <c r="J223" t="str">
        <f>_xlfn.XLOOKUP(B223,Customers!A:A,Customers!B:B)</f>
        <v>Kamran Iqbal</v>
      </c>
      <c r="K223" t="str">
        <f>_xlfn.XLOOKUP(B223,Customers!A:A,Customers!C:C)</f>
        <v>Faisalabad</v>
      </c>
      <c r="L223" t="str">
        <f>_xlfn.XLOOKUP(B223,Customers!A:A,Customers!D:D)</f>
        <v>Gold</v>
      </c>
      <c r="M223">
        <f t="shared" si="3"/>
        <v>480</v>
      </c>
      <c r="N223" t="str">
        <f>_xlfn.XLOOKUP(C223,Products!A:A,Products!E:E)</f>
        <v>Islamabad</v>
      </c>
    </row>
    <row r="224" spans="1:14" x14ac:dyDescent="0.25">
      <c r="A224" t="s">
        <v>295</v>
      </c>
      <c r="B224" t="s">
        <v>69</v>
      </c>
      <c r="C224" t="s">
        <v>8</v>
      </c>
      <c r="D224">
        <v>2</v>
      </c>
      <c r="E224" s="1">
        <v>46224</v>
      </c>
      <c r="F224" t="s">
        <v>9</v>
      </c>
      <c r="G224" t="str">
        <f>VLOOKUP(C224,Products!A:E,2,0)</f>
        <v>Laptop Stand</v>
      </c>
      <c r="H224" t="str">
        <f>VLOOKUP(C224,Products!A:E,3,0)</f>
        <v>Electronics</v>
      </c>
      <c r="I224">
        <f>VLOOKUP(C224,Products!A:E,4,0)</f>
        <v>40</v>
      </c>
      <c r="J224" t="str">
        <f>_xlfn.XLOOKUP(B224,Customers!A:A,Customers!B:B)</f>
        <v>Nabeel Awan</v>
      </c>
      <c r="K224" t="str">
        <f>_xlfn.XLOOKUP(B224,Customers!A:A,Customers!C:C)</f>
        <v>Islamabad</v>
      </c>
      <c r="L224" t="str">
        <f>_xlfn.XLOOKUP(B224,Customers!A:A,Customers!D:D)</f>
        <v>Bronze</v>
      </c>
      <c r="M224">
        <f t="shared" si="3"/>
        <v>80</v>
      </c>
      <c r="N224" t="str">
        <f>_xlfn.XLOOKUP(C224,Products!A:A,Products!E:E)</f>
        <v>Rawalpindi</v>
      </c>
    </row>
    <row r="225" spans="1:14" x14ac:dyDescent="0.25">
      <c r="A225" t="s">
        <v>296</v>
      </c>
      <c r="B225" t="s">
        <v>71</v>
      </c>
      <c r="C225" t="s">
        <v>53</v>
      </c>
      <c r="D225">
        <v>1</v>
      </c>
      <c r="E225" s="1">
        <v>46224</v>
      </c>
      <c r="F225" t="s">
        <v>9</v>
      </c>
      <c r="G225" t="str">
        <f>VLOOKUP(C225,Products!A:E,2,0)</f>
        <v>Night Cream</v>
      </c>
      <c r="H225" t="str">
        <f>VLOOKUP(C225,Products!A:E,3,0)</f>
        <v>Beauty</v>
      </c>
      <c r="I225">
        <f>VLOOKUP(C225,Products!A:E,4,0)</f>
        <v>40</v>
      </c>
      <c r="J225" t="str">
        <f>_xlfn.XLOOKUP(B225,Customers!A:A,Customers!B:B)</f>
        <v>Bilal Ahmed</v>
      </c>
      <c r="K225" t="str">
        <f>_xlfn.XLOOKUP(B225,Customers!A:A,Customers!C:C)</f>
        <v>Faisalabad</v>
      </c>
      <c r="L225" t="str">
        <f>_xlfn.XLOOKUP(B225,Customers!A:A,Customers!D:D)</f>
        <v>Bronze</v>
      </c>
      <c r="M225">
        <f t="shared" si="3"/>
        <v>40</v>
      </c>
      <c r="N225" t="str">
        <f>_xlfn.XLOOKUP(C225,Products!A:A,Products!E:E)</f>
        <v>Faisalabad</v>
      </c>
    </row>
    <row r="226" spans="1:14" x14ac:dyDescent="0.25">
      <c r="A226" t="s">
        <v>297</v>
      </c>
      <c r="B226" t="s">
        <v>73</v>
      </c>
      <c r="C226" t="s">
        <v>25</v>
      </c>
      <c r="D226">
        <v>3</v>
      </c>
      <c r="E226" s="1">
        <v>46225</v>
      </c>
      <c r="F226" t="s">
        <v>9</v>
      </c>
      <c r="G226" t="str">
        <f>VLOOKUP(C226,Products!A:E,2,0)</f>
        <v>Sunscreen</v>
      </c>
      <c r="H226" t="str">
        <f>VLOOKUP(C226,Products!A:E,3,0)</f>
        <v>Beauty</v>
      </c>
      <c r="I226">
        <f>VLOOKUP(C226,Products!A:E,4,0)</f>
        <v>15</v>
      </c>
      <c r="J226" t="str">
        <f>_xlfn.XLOOKUP(B226,Customers!A:A,Customers!B:B)</f>
        <v>Imran Satti</v>
      </c>
      <c r="K226" t="str">
        <f>_xlfn.XLOOKUP(B226,Customers!A:A,Customers!C:C)</f>
        <v>Islamabad</v>
      </c>
      <c r="L226" t="str">
        <f>_xlfn.XLOOKUP(B226,Customers!A:A,Customers!D:D)</f>
        <v>Gold</v>
      </c>
      <c r="M226">
        <f t="shared" si="3"/>
        <v>45</v>
      </c>
      <c r="N226" t="str">
        <f>_xlfn.XLOOKUP(C226,Products!A:A,Products!E:E)</f>
        <v>Karachi</v>
      </c>
    </row>
    <row r="227" spans="1:14" x14ac:dyDescent="0.25">
      <c r="A227" t="s">
        <v>298</v>
      </c>
      <c r="B227" t="s">
        <v>75</v>
      </c>
      <c r="C227" t="s">
        <v>50</v>
      </c>
      <c r="D227">
        <v>2</v>
      </c>
      <c r="E227" s="1">
        <v>46225</v>
      </c>
      <c r="F227" t="s">
        <v>9</v>
      </c>
      <c r="G227" t="str">
        <f>VLOOKUP(C227,Products!A:E,2,0)</f>
        <v>Bluetooth Speaker</v>
      </c>
      <c r="H227" t="str">
        <f>VLOOKUP(C227,Products!A:E,3,0)</f>
        <v>Electronics</v>
      </c>
      <c r="I227">
        <f>VLOOKUP(C227,Products!A:E,4,0)</f>
        <v>95</v>
      </c>
      <c r="J227" t="str">
        <f>_xlfn.XLOOKUP(B227,Customers!A:A,Customers!B:B)</f>
        <v>Imran Khan</v>
      </c>
      <c r="K227" t="str">
        <f>_xlfn.XLOOKUP(B227,Customers!A:A,Customers!C:C)</f>
        <v>Rawalpindi</v>
      </c>
      <c r="L227" t="str">
        <f>_xlfn.XLOOKUP(B227,Customers!A:A,Customers!D:D)</f>
        <v>Bronze</v>
      </c>
      <c r="M227">
        <f t="shared" si="3"/>
        <v>190</v>
      </c>
      <c r="N227" t="str">
        <f>_xlfn.XLOOKUP(C227,Products!A:A,Products!E:E)</f>
        <v>Karachi</v>
      </c>
    </row>
    <row r="228" spans="1:14" x14ac:dyDescent="0.25">
      <c r="A228" t="s">
        <v>299</v>
      </c>
      <c r="B228" t="s">
        <v>77</v>
      </c>
      <c r="C228" t="s">
        <v>18</v>
      </c>
      <c r="D228">
        <v>1</v>
      </c>
      <c r="E228" s="1">
        <v>46226</v>
      </c>
      <c r="F228" t="s">
        <v>9</v>
      </c>
      <c r="G228" t="str">
        <f>VLOOKUP(C228,Products!A:E,2,0)</f>
        <v>Hair Serum</v>
      </c>
      <c r="H228" t="str">
        <f>VLOOKUP(C228,Products!A:E,3,0)</f>
        <v>Beauty</v>
      </c>
      <c r="I228">
        <f>VLOOKUP(C228,Products!A:E,4,0)</f>
        <v>35</v>
      </c>
      <c r="J228" t="str">
        <f>_xlfn.XLOOKUP(B228,Customers!A:A,Customers!B:B)</f>
        <v>Hina Awan</v>
      </c>
      <c r="K228" t="str">
        <f>_xlfn.XLOOKUP(B228,Customers!A:A,Customers!C:C)</f>
        <v>Karachi</v>
      </c>
      <c r="L228" t="str">
        <f>_xlfn.XLOOKUP(B228,Customers!A:A,Customers!D:D)</f>
        <v>Silver</v>
      </c>
      <c r="M228">
        <f t="shared" si="3"/>
        <v>35</v>
      </c>
      <c r="N228" t="str">
        <f>_xlfn.XLOOKUP(C228,Products!A:A,Products!E:E)</f>
        <v>Islamabad</v>
      </c>
    </row>
    <row r="229" spans="1:14" x14ac:dyDescent="0.25">
      <c r="A229" t="s">
        <v>300</v>
      </c>
      <c r="B229" t="s">
        <v>79</v>
      </c>
      <c r="C229" t="s">
        <v>12</v>
      </c>
      <c r="D229">
        <v>4</v>
      </c>
      <c r="E229" s="1">
        <v>46226</v>
      </c>
      <c r="F229" t="s">
        <v>9</v>
      </c>
      <c r="G229" t="str">
        <f>VLOOKUP(C229,Products!A:E,2,0)</f>
        <v>Air Fryer</v>
      </c>
      <c r="H229" t="str">
        <f>VLOOKUP(C229,Products!A:E,3,0)</f>
        <v>Home &amp; Kitchen</v>
      </c>
      <c r="I229">
        <f>VLOOKUP(C229,Products!A:E,4,0)</f>
        <v>150</v>
      </c>
      <c r="J229" t="str">
        <f>_xlfn.XLOOKUP(B229,Customers!A:A,Customers!B:B)</f>
        <v>Sadia Awan</v>
      </c>
      <c r="K229" t="str">
        <f>_xlfn.XLOOKUP(B229,Customers!A:A,Customers!C:C)</f>
        <v>Lahore</v>
      </c>
      <c r="L229" t="str">
        <f>_xlfn.XLOOKUP(B229,Customers!A:A,Customers!D:D)</f>
        <v>Bronze</v>
      </c>
      <c r="M229">
        <f t="shared" si="3"/>
        <v>600</v>
      </c>
      <c r="N229" t="str">
        <f>_xlfn.XLOOKUP(C229,Products!A:A,Products!E:E)</f>
        <v>Lahore</v>
      </c>
    </row>
    <row r="230" spans="1:14" x14ac:dyDescent="0.25">
      <c r="A230" t="s">
        <v>301</v>
      </c>
      <c r="B230" t="s">
        <v>81</v>
      </c>
      <c r="C230" t="s">
        <v>15</v>
      </c>
      <c r="D230">
        <v>2</v>
      </c>
      <c r="E230" s="1">
        <v>46227</v>
      </c>
      <c r="F230" t="s">
        <v>9</v>
      </c>
      <c r="G230" t="str">
        <f>VLOOKUP(C230,Products!A:E,2,0)</f>
        <v>Phone Case</v>
      </c>
      <c r="H230" t="str">
        <f>VLOOKUP(C230,Products!A:E,3,0)</f>
        <v>Electronics</v>
      </c>
      <c r="I230">
        <f>VLOOKUP(C230,Products!A:E,4,0)</f>
        <v>12</v>
      </c>
      <c r="J230" t="str">
        <f>_xlfn.XLOOKUP(B230,Customers!A:A,Customers!B:B)</f>
        <v>Ahmed Khan</v>
      </c>
      <c r="K230" t="str">
        <f>_xlfn.XLOOKUP(B230,Customers!A:A,Customers!C:C)</f>
        <v>Karachi</v>
      </c>
      <c r="L230" t="str">
        <f>_xlfn.XLOOKUP(B230,Customers!A:A,Customers!D:D)</f>
        <v>Gold</v>
      </c>
      <c r="M230">
        <f t="shared" si="3"/>
        <v>24</v>
      </c>
      <c r="N230" t="str">
        <f>_xlfn.XLOOKUP(C230,Products!A:A,Products!E:E)</f>
        <v>Islamabad</v>
      </c>
    </row>
    <row r="231" spans="1:14" x14ac:dyDescent="0.25">
      <c r="A231" t="s">
        <v>302</v>
      </c>
      <c r="B231" t="s">
        <v>83</v>
      </c>
      <c r="C231" t="s">
        <v>32</v>
      </c>
      <c r="D231">
        <v>1</v>
      </c>
      <c r="E231" s="1">
        <v>46227</v>
      </c>
      <c r="F231" t="s">
        <v>9</v>
      </c>
      <c r="G231" t="str">
        <f>VLOOKUP(C231,Products!A:E,2,0)</f>
        <v>Coffee Maker</v>
      </c>
      <c r="H231" t="str">
        <f>VLOOKUP(C231,Products!A:E,3,0)</f>
        <v>Home &amp; Kitchen</v>
      </c>
      <c r="I231">
        <f>VLOOKUP(C231,Products!A:E,4,0)</f>
        <v>110</v>
      </c>
      <c r="J231" t="str">
        <f>_xlfn.XLOOKUP(B231,Customers!A:A,Customers!B:B)</f>
        <v>Junaid Alam</v>
      </c>
      <c r="K231" t="str">
        <f>_xlfn.XLOOKUP(B231,Customers!A:A,Customers!C:C)</f>
        <v>Lahore</v>
      </c>
      <c r="L231" t="str">
        <f>_xlfn.XLOOKUP(B231,Customers!A:A,Customers!D:D)</f>
        <v>Bronze</v>
      </c>
      <c r="M231">
        <f t="shared" si="3"/>
        <v>110</v>
      </c>
      <c r="N231" t="str">
        <f>_xlfn.XLOOKUP(C231,Products!A:A,Products!E:E)</f>
        <v>Karachi</v>
      </c>
    </row>
    <row r="232" spans="1:14" x14ac:dyDescent="0.25">
      <c r="A232" t="s">
        <v>303</v>
      </c>
      <c r="B232" t="s">
        <v>85</v>
      </c>
      <c r="C232" t="s">
        <v>35</v>
      </c>
      <c r="D232">
        <v>3</v>
      </c>
      <c r="E232" s="1">
        <v>46228</v>
      </c>
      <c r="F232" t="s">
        <v>9</v>
      </c>
      <c r="G232" t="str">
        <f>VLOOKUP(C232,Products!A:E,2,0)</f>
        <v>Face Serum</v>
      </c>
      <c r="H232" t="str">
        <f>VLOOKUP(C232,Products!A:E,3,0)</f>
        <v>Beauty</v>
      </c>
      <c r="I232">
        <f>VLOOKUP(C232,Products!A:E,4,0)</f>
        <v>30</v>
      </c>
      <c r="J232" t="str">
        <f>_xlfn.XLOOKUP(B232,Customers!A:A,Customers!B:B)</f>
        <v>Sobia Tariq</v>
      </c>
      <c r="K232" t="str">
        <f>_xlfn.XLOOKUP(B232,Customers!A:A,Customers!C:C)</f>
        <v>Lahore</v>
      </c>
      <c r="L232" t="str">
        <f>_xlfn.XLOOKUP(B232,Customers!A:A,Customers!D:D)</f>
        <v>Silver</v>
      </c>
      <c r="M232">
        <f t="shared" si="3"/>
        <v>90</v>
      </c>
      <c r="N232" t="str">
        <f>_xlfn.XLOOKUP(C232,Products!A:A,Products!E:E)</f>
        <v>Lahore</v>
      </c>
    </row>
    <row r="233" spans="1:14" x14ac:dyDescent="0.25">
      <c r="A233" t="s">
        <v>304</v>
      </c>
      <c r="B233" t="s">
        <v>87</v>
      </c>
      <c r="C233" t="s">
        <v>38</v>
      </c>
      <c r="D233">
        <v>2</v>
      </c>
      <c r="E233" s="1">
        <v>46228</v>
      </c>
      <c r="F233" t="s">
        <v>9</v>
      </c>
      <c r="G233" t="str">
        <f>VLOOKUP(C233,Products!A:E,2,0)</f>
        <v>Rice Cooker</v>
      </c>
      <c r="H233" t="str">
        <f>VLOOKUP(C233,Products!A:E,3,0)</f>
        <v>Home &amp; Kitchen</v>
      </c>
      <c r="I233">
        <f>VLOOKUP(C233,Products!A:E,4,0)</f>
        <v>95</v>
      </c>
      <c r="J233" t="str">
        <f>_xlfn.XLOOKUP(B233,Customers!A:A,Customers!B:B)</f>
        <v>Saad Butt</v>
      </c>
      <c r="K233" t="str">
        <f>_xlfn.XLOOKUP(B233,Customers!A:A,Customers!C:C)</f>
        <v>Islamabad</v>
      </c>
      <c r="L233" t="str">
        <f>_xlfn.XLOOKUP(B233,Customers!A:A,Customers!D:D)</f>
        <v>Gold</v>
      </c>
      <c r="M233">
        <f t="shared" si="3"/>
        <v>190</v>
      </c>
      <c r="N233" t="str">
        <f>_xlfn.XLOOKUP(C233,Products!A:A,Products!E:E)</f>
        <v>Rawalpindi</v>
      </c>
    </row>
    <row r="234" spans="1:14" x14ac:dyDescent="0.25">
      <c r="A234" t="s">
        <v>305</v>
      </c>
      <c r="B234" t="s">
        <v>89</v>
      </c>
      <c r="C234" t="s">
        <v>44</v>
      </c>
      <c r="D234">
        <v>1</v>
      </c>
      <c r="E234" s="1">
        <v>46229</v>
      </c>
      <c r="F234" t="s">
        <v>29</v>
      </c>
      <c r="G234" t="str">
        <f>VLOOKUP(C234,Products!A:E,2,0)</f>
        <v>Moisturizer</v>
      </c>
      <c r="H234" t="str">
        <f>VLOOKUP(C234,Products!A:E,3,0)</f>
        <v>Beauty</v>
      </c>
      <c r="I234">
        <f>VLOOKUP(C234,Products!A:E,4,0)</f>
        <v>25</v>
      </c>
      <c r="J234" t="str">
        <f>_xlfn.XLOOKUP(B234,Customers!A:A,Customers!B:B)</f>
        <v>Mehwish Tariq</v>
      </c>
      <c r="K234" t="str">
        <f>_xlfn.XLOOKUP(B234,Customers!A:A,Customers!C:C)</f>
        <v>Faisalabad</v>
      </c>
      <c r="L234" t="str">
        <f>_xlfn.XLOOKUP(B234,Customers!A:A,Customers!D:D)</f>
        <v>Silver</v>
      </c>
      <c r="M234">
        <f t="shared" si="3"/>
        <v>25</v>
      </c>
      <c r="N234" t="str">
        <f>_xlfn.XLOOKUP(C234,Products!A:A,Products!E:E)</f>
        <v>Lahore</v>
      </c>
    </row>
    <row r="235" spans="1:14" x14ac:dyDescent="0.25">
      <c r="A235" t="s">
        <v>306</v>
      </c>
      <c r="B235" t="s">
        <v>91</v>
      </c>
      <c r="C235" t="s">
        <v>28</v>
      </c>
      <c r="D235">
        <v>4</v>
      </c>
      <c r="E235" s="1">
        <v>46229</v>
      </c>
      <c r="F235" t="s">
        <v>9</v>
      </c>
      <c r="G235" t="str">
        <f>VLOOKUP(C235,Products!A:E,2,0)</f>
        <v>Wireless Earbuds</v>
      </c>
      <c r="H235" t="str">
        <f>VLOOKUP(C235,Products!A:E,3,0)</f>
        <v>Electronics</v>
      </c>
      <c r="I235">
        <f>VLOOKUP(C235,Products!A:E,4,0)</f>
        <v>45</v>
      </c>
      <c r="J235" t="str">
        <f>_xlfn.XLOOKUP(B235,Customers!A:A,Customers!B:B)</f>
        <v>Fatima Malik</v>
      </c>
      <c r="K235" t="str">
        <f>_xlfn.XLOOKUP(B235,Customers!A:A,Customers!C:C)</f>
        <v>Karachi</v>
      </c>
      <c r="L235" t="str">
        <f>_xlfn.XLOOKUP(B235,Customers!A:A,Customers!D:D)</f>
        <v>Gold</v>
      </c>
      <c r="M235">
        <f t="shared" si="3"/>
        <v>180</v>
      </c>
      <c r="N235" t="str">
        <f>_xlfn.XLOOKUP(C235,Products!A:A,Products!E:E)</f>
        <v>Lahore</v>
      </c>
    </row>
    <row r="236" spans="1:14" x14ac:dyDescent="0.25">
      <c r="A236" t="s">
        <v>307</v>
      </c>
      <c r="B236" t="s">
        <v>93</v>
      </c>
      <c r="C236" t="s">
        <v>47</v>
      </c>
      <c r="D236">
        <v>2</v>
      </c>
      <c r="E236" s="1">
        <v>46230</v>
      </c>
      <c r="F236" t="s">
        <v>9</v>
      </c>
      <c r="G236" t="str">
        <f>VLOOKUP(C236,Products!A:E,2,0)</f>
        <v>Blender</v>
      </c>
      <c r="H236" t="str">
        <f>VLOOKUP(C236,Products!A:E,3,0)</f>
        <v>Home &amp; Kitchen</v>
      </c>
      <c r="I236">
        <f>VLOOKUP(C236,Products!A:E,4,0)</f>
        <v>120</v>
      </c>
      <c r="J236" t="str">
        <f>_xlfn.XLOOKUP(B236,Customers!A:A,Customers!B:B)</f>
        <v>Asad Mahmood</v>
      </c>
      <c r="K236" t="str">
        <f>_xlfn.XLOOKUP(B236,Customers!A:A,Customers!C:C)</f>
        <v>Karachi</v>
      </c>
      <c r="L236" t="str">
        <f>_xlfn.XLOOKUP(B236,Customers!A:A,Customers!D:D)</f>
        <v>Silver</v>
      </c>
      <c r="M236">
        <f t="shared" si="3"/>
        <v>240</v>
      </c>
      <c r="N236" t="str">
        <f>_xlfn.XLOOKUP(C236,Products!A:A,Products!E:E)</f>
        <v>Islamabad</v>
      </c>
    </row>
    <row r="237" spans="1:14" x14ac:dyDescent="0.25">
      <c r="A237" t="s">
        <v>308</v>
      </c>
      <c r="B237" t="s">
        <v>95</v>
      </c>
      <c r="C237" t="s">
        <v>8</v>
      </c>
      <c r="D237">
        <v>1</v>
      </c>
      <c r="E237" s="1">
        <v>46230</v>
      </c>
      <c r="F237" t="s">
        <v>19</v>
      </c>
      <c r="G237" t="str">
        <f>VLOOKUP(C237,Products!A:E,2,0)</f>
        <v>Laptop Stand</v>
      </c>
      <c r="H237" t="str">
        <f>VLOOKUP(C237,Products!A:E,3,0)</f>
        <v>Electronics</v>
      </c>
      <c r="I237">
        <f>VLOOKUP(C237,Products!A:E,4,0)</f>
        <v>40</v>
      </c>
      <c r="J237" t="str">
        <f>_xlfn.XLOOKUP(B237,Customers!A:A,Customers!B:B)</f>
        <v>Taha Qureshi</v>
      </c>
      <c r="K237" t="str">
        <f>_xlfn.XLOOKUP(B237,Customers!A:A,Customers!C:C)</f>
        <v>Lahore</v>
      </c>
      <c r="L237" t="str">
        <f>_xlfn.XLOOKUP(B237,Customers!A:A,Customers!D:D)</f>
        <v>Gold</v>
      </c>
      <c r="M237">
        <f t="shared" si="3"/>
        <v>40</v>
      </c>
      <c r="N237" t="str">
        <f>_xlfn.XLOOKUP(C237,Products!A:A,Products!E:E)</f>
        <v>Rawalpindi</v>
      </c>
    </row>
    <row r="238" spans="1:14" x14ac:dyDescent="0.25">
      <c r="A238" t="s">
        <v>309</v>
      </c>
      <c r="B238" t="s">
        <v>97</v>
      </c>
      <c r="C238" t="s">
        <v>53</v>
      </c>
      <c r="D238">
        <v>3</v>
      </c>
      <c r="E238" s="1">
        <v>46231</v>
      </c>
      <c r="F238" t="s">
        <v>9</v>
      </c>
      <c r="G238" t="str">
        <f>VLOOKUP(C238,Products!A:E,2,0)</f>
        <v>Night Cream</v>
      </c>
      <c r="H238" t="str">
        <f>VLOOKUP(C238,Products!A:E,3,0)</f>
        <v>Beauty</v>
      </c>
      <c r="I238">
        <f>VLOOKUP(C238,Products!A:E,4,0)</f>
        <v>40</v>
      </c>
      <c r="J238" t="str">
        <f>_xlfn.XLOOKUP(B238,Customers!A:A,Customers!B:B)</f>
        <v>Nadia Qureshi</v>
      </c>
      <c r="K238" t="str">
        <f>_xlfn.XLOOKUP(B238,Customers!A:A,Customers!C:C)</f>
        <v>Lahore</v>
      </c>
      <c r="L238" t="str">
        <f>_xlfn.XLOOKUP(B238,Customers!A:A,Customers!D:D)</f>
        <v>Gold</v>
      </c>
      <c r="M238">
        <f t="shared" si="3"/>
        <v>120</v>
      </c>
      <c r="N238" t="str">
        <f>_xlfn.XLOOKUP(C238,Products!A:A,Products!E:E)</f>
        <v>Faisalabad</v>
      </c>
    </row>
    <row r="239" spans="1:14" x14ac:dyDescent="0.25">
      <c r="A239" t="s">
        <v>310</v>
      </c>
      <c r="B239" t="s">
        <v>99</v>
      </c>
      <c r="C239" t="s">
        <v>25</v>
      </c>
      <c r="D239">
        <v>2</v>
      </c>
      <c r="E239" s="1">
        <v>46231</v>
      </c>
      <c r="F239" t="s">
        <v>9</v>
      </c>
      <c r="G239" t="str">
        <f>VLOOKUP(C239,Products!A:E,2,0)</f>
        <v>Sunscreen</v>
      </c>
      <c r="H239" t="str">
        <f>VLOOKUP(C239,Products!A:E,3,0)</f>
        <v>Beauty</v>
      </c>
      <c r="I239">
        <f>VLOOKUP(C239,Products!A:E,4,0)</f>
        <v>15</v>
      </c>
      <c r="J239" t="str">
        <f>_xlfn.XLOOKUP(B239,Customers!A:A,Customers!B:B)</f>
        <v>Maham Rizvi</v>
      </c>
      <c r="K239" t="str">
        <f>_xlfn.XLOOKUP(B239,Customers!A:A,Customers!C:C)</f>
        <v>Lahore</v>
      </c>
      <c r="L239" t="str">
        <f>_xlfn.XLOOKUP(B239,Customers!A:A,Customers!D:D)</f>
        <v>Silver</v>
      </c>
      <c r="M239">
        <f t="shared" si="3"/>
        <v>30</v>
      </c>
      <c r="N239" t="str">
        <f>_xlfn.XLOOKUP(C239,Products!A:A,Products!E:E)</f>
        <v>Karachi</v>
      </c>
    </row>
    <row r="240" spans="1:14" x14ac:dyDescent="0.25">
      <c r="A240" t="s">
        <v>311</v>
      </c>
      <c r="B240" t="s">
        <v>101</v>
      </c>
      <c r="C240" t="s">
        <v>50</v>
      </c>
      <c r="D240">
        <v>1</v>
      </c>
      <c r="E240" s="1">
        <v>46232</v>
      </c>
      <c r="F240" t="s">
        <v>9</v>
      </c>
      <c r="G240" t="str">
        <f>VLOOKUP(C240,Products!A:E,2,0)</f>
        <v>Bluetooth Speaker</v>
      </c>
      <c r="H240" t="str">
        <f>VLOOKUP(C240,Products!A:E,3,0)</f>
        <v>Electronics</v>
      </c>
      <c r="I240">
        <f>VLOOKUP(C240,Products!A:E,4,0)</f>
        <v>95</v>
      </c>
      <c r="J240" t="str">
        <f>_xlfn.XLOOKUP(B240,Customers!A:A,Customers!B:B)</f>
        <v>Zubair Hassan</v>
      </c>
      <c r="K240" t="str">
        <f>_xlfn.XLOOKUP(B240,Customers!A:A,Customers!C:C)</f>
        <v>Rawalpindi</v>
      </c>
      <c r="L240" t="str">
        <f>_xlfn.XLOOKUP(B240,Customers!A:A,Customers!D:D)</f>
        <v>Gold</v>
      </c>
      <c r="M240">
        <f t="shared" si="3"/>
        <v>95</v>
      </c>
      <c r="N240" t="str">
        <f>_xlfn.XLOOKUP(C240,Products!A:A,Products!E:E)</f>
        <v>Karachi</v>
      </c>
    </row>
    <row r="241" spans="1:14" x14ac:dyDescent="0.25">
      <c r="A241" t="s">
        <v>312</v>
      </c>
      <c r="B241" t="s">
        <v>103</v>
      </c>
      <c r="C241" t="s">
        <v>18</v>
      </c>
      <c r="D241">
        <v>4</v>
      </c>
      <c r="E241" s="1">
        <v>46232</v>
      </c>
      <c r="F241" t="s">
        <v>9</v>
      </c>
      <c r="G241" t="str">
        <f>VLOOKUP(C241,Products!A:E,2,0)</f>
        <v>Hair Serum</v>
      </c>
      <c r="H241" t="str">
        <f>VLOOKUP(C241,Products!A:E,3,0)</f>
        <v>Beauty</v>
      </c>
      <c r="I241">
        <f>VLOOKUP(C241,Products!A:E,4,0)</f>
        <v>35</v>
      </c>
      <c r="J241" t="str">
        <f>_xlfn.XLOOKUP(B241,Customers!A:A,Customers!B:B)</f>
        <v>Sundas Ali</v>
      </c>
      <c r="K241" t="str">
        <f>_xlfn.XLOOKUP(B241,Customers!A:A,Customers!C:C)</f>
        <v>Lahore</v>
      </c>
      <c r="L241" t="str">
        <f>_xlfn.XLOOKUP(B241,Customers!A:A,Customers!D:D)</f>
        <v>Gold</v>
      </c>
      <c r="M241">
        <f t="shared" si="3"/>
        <v>140</v>
      </c>
      <c r="N241" t="str">
        <f>_xlfn.XLOOKUP(C241,Products!A:A,Products!E:E)</f>
        <v>Islamabad</v>
      </c>
    </row>
    <row r="242" spans="1:14" x14ac:dyDescent="0.25">
      <c r="A242" t="s">
        <v>313</v>
      </c>
      <c r="B242" t="s">
        <v>14</v>
      </c>
      <c r="C242" t="s">
        <v>12</v>
      </c>
      <c r="D242">
        <v>2</v>
      </c>
      <c r="E242" s="1">
        <v>46233</v>
      </c>
      <c r="F242" t="s">
        <v>9</v>
      </c>
      <c r="G242" t="str">
        <f>VLOOKUP(C242,Products!A:E,2,0)</f>
        <v>Air Fryer</v>
      </c>
      <c r="H242" t="str">
        <f>VLOOKUP(C242,Products!A:E,3,0)</f>
        <v>Home &amp; Kitchen</v>
      </c>
      <c r="I242">
        <f>VLOOKUP(C242,Products!A:E,4,0)</f>
        <v>150</v>
      </c>
      <c r="J242" t="str">
        <f>_xlfn.XLOOKUP(B242,Customers!A:A,Customers!B:B)</f>
        <v>Omar Tariq</v>
      </c>
      <c r="K242" t="str">
        <f>_xlfn.XLOOKUP(B242,Customers!A:A,Customers!C:C)</f>
        <v>Karachi</v>
      </c>
      <c r="L242" t="str">
        <f>_xlfn.XLOOKUP(B242,Customers!A:A,Customers!D:D)</f>
        <v>Gold</v>
      </c>
      <c r="M242">
        <f t="shared" si="3"/>
        <v>300</v>
      </c>
      <c r="N242" t="str">
        <f>_xlfn.XLOOKUP(C242,Products!A:A,Products!E:E)</f>
        <v>Lahore</v>
      </c>
    </row>
    <row r="243" spans="1:14" x14ac:dyDescent="0.25">
      <c r="A243" t="s">
        <v>314</v>
      </c>
      <c r="B243" t="s">
        <v>106</v>
      </c>
      <c r="C243" t="s">
        <v>15</v>
      </c>
      <c r="D243">
        <v>1</v>
      </c>
      <c r="E243" s="1">
        <v>46233</v>
      </c>
      <c r="F243" t="s">
        <v>9</v>
      </c>
      <c r="G243" t="str">
        <f>VLOOKUP(C243,Products!A:E,2,0)</f>
        <v>Phone Case</v>
      </c>
      <c r="H243" t="str">
        <f>VLOOKUP(C243,Products!A:E,3,0)</f>
        <v>Electronics</v>
      </c>
      <c r="I243">
        <f>VLOOKUP(C243,Products!A:E,4,0)</f>
        <v>12</v>
      </c>
      <c r="J243" t="str">
        <f>_xlfn.XLOOKUP(B243,Customers!A:A,Customers!B:B)</f>
        <v>Ahmed Raza</v>
      </c>
      <c r="K243" t="str">
        <f>_xlfn.XLOOKUP(B243,Customers!A:A,Customers!C:C)</f>
        <v>Karachi</v>
      </c>
      <c r="L243" t="str">
        <f>_xlfn.XLOOKUP(B243,Customers!A:A,Customers!D:D)</f>
        <v>Bronze</v>
      </c>
      <c r="M243">
        <f t="shared" si="3"/>
        <v>12</v>
      </c>
      <c r="N243" t="str">
        <f>_xlfn.XLOOKUP(C243,Products!A:A,Products!E:E)</f>
        <v>Islamabad</v>
      </c>
    </row>
    <row r="244" spans="1:14" x14ac:dyDescent="0.25">
      <c r="A244" t="s">
        <v>315</v>
      </c>
      <c r="B244" t="s">
        <v>108</v>
      </c>
      <c r="C244" t="s">
        <v>32</v>
      </c>
      <c r="D244">
        <v>3</v>
      </c>
      <c r="E244" s="1">
        <v>46234</v>
      </c>
      <c r="F244" t="s">
        <v>9</v>
      </c>
      <c r="G244" t="str">
        <f>VLOOKUP(C244,Products!A:E,2,0)</f>
        <v>Coffee Maker</v>
      </c>
      <c r="H244" t="str">
        <f>VLOOKUP(C244,Products!A:E,3,0)</f>
        <v>Home &amp; Kitchen</v>
      </c>
      <c r="I244">
        <f>VLOOKUP(C244,Products!A:E,4,0)</f>
        <v>110</v>
      </c>
      <c r="J244" t="str">
        <f>_xlfn.XLOOKUP(B244,Customers!A:A,Customers!B:B)</f>
        <v>Rida Fatima</v>
      </c>
      <c r="K244" t="str">
        <f>_xlfn.XLOOKUP(B244,Customers!A:A,Customers!C:C)</f>
        <v>Rawalpindi</v>
      </c>
      <c r="L244" t="str">
        <f>_xlfn.XLOOKUP(B244,Customers!A:A,Customers!D:D)</f>
        <v>Silver</v>
      </c>
      <c r="M244">
        <f t="shared" si="3"/>
        <v>330</v>
      </c>
      <c r="N244" t="str">
        <f>_xlfn.XLOOKUP(C244,Products!A:A,Products!E:E)</f>
        <v>Karachi</v>
      </c>
    </row>
    <row r="245" spans="1:14" x14ac:dyDescent="0.25">
      <c r="A245" t="s">
        <v>316</v>
      </c>
      <c r="B245" t="s">
        <v>110</v>
      </c>
      <c r="C245" t="s">
        <v>35</v>
      </c>
      <c r="D245">
        <v>2</v>
      </c>
      <c r="E245" s="1">
        <v>46234</v>
      </c>
      <c r="F245" t="s">
        <v>9</v>
      </c>
      <c r="G245" t="str">
        <f>VLOOKUP(C245,Products!A:E,2,0)</f>
        <v>Face Serum</v>
      </c>
      <c r="H245" t="str">
        <f>VLOOKUP(C245,Products!A:E,3,0)</f>
        <v>Beauty</v>
      </c>
      <c r="I245">
        <f>VLOOKUP(C245,Products!A:E,4,0)</f>
        <v>30</v>
      </c>
      <c r="J245" t="str">
        <f>_xlfn.XLOOKUP(B245,Customers!A:A,Customers!B:B)</f>
        <v>Usman Sheikh</v>
      </c>
      <c r="K245" t="str">
        <f>_xlfn.XLOOKUP(B245,Customers!A:A,Customers!C:C)</f>
        <v>Rawalpindi</v>
      </c>
      <c r="L245" t="str">
        <f>_xlfn.XLOOKUP(B245,Customers!A:A,Customers!D:D)</f>
        <v>Silver</v>
      </c>
      <c r="M245">
        <f t="shared" si="3"/>
        <v>60</v>
      </c>
      <c r="N245" t="str">
        <f>_xlfn.XLOOKUP(C245,Products!A:A,Products!E:E)</f>
        <v>Lahore</v>
      </c>
    </row>
    <row r="246" spans="1:14" x14ac:dyDescent="0.25">
      <c r="A246" t="s">
        <v>317</v>
      </c>
      <c r="B246" t="s">
        <v>112</v>
      </c>
      <c r="C246" t="s">
        <v>38</v>
      </c>
      <c r="D246">
        <v>1</v>
      </c>
      <c r="E246" s="1">
        <v>46235</v>
      </c>
      <c r="F246" t="s">
        <v>9</v>
      </c>
      <c r="G246" t="str">
        <f>VLOOKUP(C246,Products!A:E,2,0)</f>
        <v>Rice Cooker</v>
      </c>
      <c r="H246" t="str">
        <f>VLOOKUP(C246,Products!A:E,3,0)</f>
        <v>Home &amp; Kitchen</v>
      </c>
      <c r="I246">
        <f>VLOOKUP(C246,Products!A:E,4,0)</f>
        <v>95</v>
      </c>
      <c r="J246" t="str">
        <f>_xlfn.XLOOKUP(B246,Customers!A:A,Customers!B:B)</f>
        <v>Hira Baig</v>
      </c>
      <c r="K246" t="str">
        <f>_xlfn.XLOOKUP(B246,Customers!A:A,Customers!C:C)</f>
        <v>Rawalpindi</v>
      </c>
      <c r="L246" t="str">
        <f>_xlfn.XLOOKUP(B246,Customers!A:A,Customers!D:D)</f>
        <v>Bronze</v>
      </c>
      <c r="M246">
        <f t="shared" si="3"/>
        <v>95</v>
      </c>
      <c r="N246" t="str">
        <f>_xlfn.XLOOKUP(C246,Products!A:A,Products!E:E)</f>
        <v>Rawalpindi</v>
      </c>
    </row>
    <row r="247" spans="1:14" x14ac:dyDescent="0.25">
      <c r="A247" t="s">
        <v>318</v>
      </c>
      <c r="B247" t="s">
        <v>114</v>
      </c>
      <c r="C247" t="s">
        <v>44</v>
      </c>
      <c r="D247">
        <v>4</v>
      </c>
      <c r="E247" s="1">
        <v>46235</v>
      </c>
      <c r="F247" t="s">
        <v>19</v>
      </c>
      <c r="G247" t="str">
        <f>VLOOKUP(C247,Products!A:E,2,0)</f>
        <v>Moisturizer</v>
      </c>
      <c r="H247" t="str">
        <f>VLOOKUP(C247,Products!A:E,3,0)</f>
        <v>Beauty</v>
      </c>
      <c r="I247">
        <f>VLOOKUP(C247,Products!A:E,4,0)</f>
        <v>25</v>
      </c>
      <c r="J247" t="str">
        <f>_xlfn.XLOOKUP(B247,Customers!A:A,Customers!B:B)</f>
        <v>Hassan Butt</v>
      </c>
      <c r="K247" t="str">
        <f>_xlfn.XLOOKUP(B247,Customers!A:A,Customers!C:C)</f>
        <v>Lahore</v>
      </c>
      <c r="L247" t="str">
        <f>_xlfn.XLOOKUP(B247,Customers!A:A,Customers!D:D)</f>
        <v>Gold</v>
      </c>
      <c r="M247">
        <f t="shared" si="3"/>
        <v>100</v>
      </c>
      <c r="N247" t="str">
        <f>_xlfn.XLOOKUP(C247,Products!A:A,Products!E:E)</f>
        <v>Lahore</v>
      </c>
    </row>
    <row r="248" spans="1:14" x14ac:dyDescent="0.25">
      <c r="A248" t="s">
        <v>319</v>
      </c>
      <c r="B248" t="s">
        <v>116</v>
      </c>
      <c r="C248" t="s">
        <v>28</v>
      </c>
      <c r="D248">
        <v>2</v>
      </c>
      <c r="E248" s="1">
        <v>46236</v>
      </c>
      <c r="F248" t="s">
        <v>9</v>
      </c>
      <c r="G248" t="str">
        <f>VLOOKUP(C248,Products!A:E,2,0)</f>
        <v>Wireless Earbuds</v>
      </c>
      <c r="H248" t="str">
        <f>VLOOKUP(C248,Products!A:E,3,0)</f>
        <v>Electronics</v>
      </c>
      <c r="I248">
        <f>VLOOKUP(C248,Products!A:E,4,0)</f>
        <v>45</v>
      </c>
      <c r="J248" t="str">
        <f>_xlfn.XLOOKUP(B248,Customers!A:A,Customers!B:B)</f>
        <v>Danish Khan</v>
      </c>
      <c r="K248" t="str">
        <f>_xlfn.XLOOKUP(B248,Customers!A:A,Customers!C:C)</f>
        <v>Faisalabad</v>
      </c>
      <c r="L248" t="str">
        <f>_xlfn.XLOOKUP(B248,Customers!A:A,Customers!D:D)</f>
        <v>Silver</v>
      </c>
      <c r="M248">
        <f t="shared" si="3"/>
        <v>90</v>
      </c>
      <c r="N248" t="str">
        <f>_xlfn.XLOOKUP(C248,Products!A:A,Products!E:E)</f>
        <v>Lahore</v>
      </c>
    </row>
    <row r="249" spans="1:14" x14ac:dyDescent="0.25">
      <c r="A249" t="s">
        <v>320</v>
      </c>
      <c r="B249" t="s">
        <v>118</v>
      </c>
      <c r="C249" t="s">
        <v>47</v>
      </c>
      <c r="D249">
        <v>1</v>
      </c>
      <c r="E249" s="1">
        <v>46236</v>
      </c>
      <c r="F249" t="s">
        <v>9</v>
      </c>
      <c r="G249" t="str">
        <f>VLOOKUP(C249,Products!A:E,2,0)</f>
        <v>Blender</v>
      </c>
      <c r="H249" t="str">
        <f>VLOOKUP(C249,Products!A:E,3,0)</f>
        <v>Home &amp; Kitchen</v>
      </c>
      <c r="I249">
        <f>VLOOKUP(C249,Products!A:E,4,0)</f>
        <v>120</v>
      </c>
      <c r="J249" t="str">
        <f>_xlfn.XLOOKUP(B249,Customers!A:A,Customers!B:B)</f>
        <v>Yusuf Khan</v>
      </c>
      <c r="K249" t="str">
        <f>_xlfn.XLOOKUP(B249,Customers!A:A,Customers!C:C)</f>
        <v>Islamabad</v>
      </c>
      <c r="L249" t="str">
        <f>_xlfn.XLOOKUP(B249,Customers!A:A,Customers!D:D)</f>
        <v>Silver</v>
      </c>
      <c r="M249">
        <f t="shared" si="3"/>
        <v>120</v>
      </c>
      <c r="N249" t="str">
        <f>_xlfn.XLOOKUP(C249,Products!A:A,Products!E:E)</f>
        <v>Islamabad</v>
      </c>
    </row>
    <row r="250" spans="1:14" x14ac:dyDescent="0.25">
      <c r="A250" t="s">
        <v>321</v>
      </c>
      <c r="B250" t="s">
        <v>120</v>
      </c>
      <c r="C250" t="s">
        <v>8</v>
      </c>
      <c r="D250">
        <v>3</v>
      </c>
      <c r="E250" s="1">
        <v>46237</v>
      </c>
      <c r="F250" t="s">
        <v>9</v>
      </c>
      <c r="G250" t="str">
        <f>VLOOKUP(C250,Products!A:E,2,0)</f>
        <v>Laptop Stand</v>
      </c>
      <c r="H250" t="str">
        <f>VLOOKUP(C250,Products!A:E,3,0)</f>
        <v>Electronics</v>
      </c>
      <c r="I250">
        <f>VLOOKUP(C250,Products!A:E,4,0)</f>
        <v>40</v>
      </c>
      <c r="J250" t="str">
        <f>_xlfn.XLOOKUP(B250,Customers!A:A,Customers!B:B)</f>
        <v>Lubna Shah</v>
      </c>
      <c r="K250" t="str">
        <f>_xlfn.XLOOKUP(B250,Customers!A:A,Customers!C:C)</f>
        <v>Karachi</v>
      </c>
      <c r="L250" t="str">
        <f>_xlfn.XLOOKUP(B250,Customers!A:A,Customers!D:D)</f>
        <v>Silver</v>
      </c>
      <c r="M250">
        <f t="shared" si="3"/>
        <v>120</v>
      </c>
      <c r="N250" t="str">
        <f>_xlfn.XLOOKUP(C250,Products!A:A,Products!E:E)</f>
        <v>Rawalpindi</v>
      </c>
    </row>
    <row r="251" spans="1:14" x14ac:dyDescent="0.25">
      <c r="A251" t="s">
        <v>322</v>
      </c>
      <c r="B251" t="s">
        <v>122</v>
      </c>
      <c r="C251" t="s">
        <v>53</v>
      </c>
      <c r="D251">
        <v>2</v>
      </c>
      <c r="E251" s="1">
        <v>46237</v>
      </c>
      <c r="F251" t="s">
        <v>9</v>
      </c>
      <c r="G251" t="str">
        <f>VLOOKUP(C251,Products!A:E,2,0)</f>
        <v>Night Cream</v>
      </c>
      <c r="H251" t="str">
        <f>VLOOKUP(C251,Products!A:E,3,0)</f>
        <v>Beauty</v>
      </c>
      <c r="I251">
        <f>VLOOKUP(C251,Products!A:E,4,0)</f>
        <v>40</v>
      </c>
      <c r="J251" t="str">
        <f>_xlfn.XLOOKUP(B251,Customers!A:A,Customers!B:B)</f>
        <v>Zeeshan Malik</v>
      </c>
      <c r="K251" t="str">
        <f>_xlfn.XLOOKUP(B251,Customers!A:A,Customers!C:C)</f>
        <v>Karachi</v>
      </c>
      <c r="L251" t="str">
        <f>_xlfn.XLOOKUP(B251,Customers!A:A,Customers!D:D)</f>
        <v>Gold</v>
      </c>
      <c r="M251">
        <f t="shared" si="3"/>
        <v>80</v>
      </c>
      <c r="N251" t="str">
        <f>_xlfn.XLOOKUP(C251,Products!A:A,Products!E:E)</f>
        <v>Faisalabad</v>
      </c>
    </row>
    <row r="252" spans="1:14" x14ac:dyDescent="0.25">
      <c r="A252" t="s">
        <v>323</v>
      </c>
      <c r="B252" t="s">
        <v>7</v>
      </c>
      <c r="C252" t="s">
        <v>25</v>
      </c>
      <c r="D252">
        <v>1</v>
      </c>
      <c r="E252" s="1">
        <v>46238</v>
      </c>
      <c r="F252" t="s">
        <v>9</v>
      </c>
      <c r="G252" t="str">
        <f>VLOOKUP(C252,Products!A:E,2,0)</f>
        <v>Sunscreen</v>
      </c>
      <c r="H252" t="str">
        <f>VLOOKUP(C252,Products!A:E,3,0)</f>
        <v>Beauty</v>
      </c>
      <c r="I252">
        <f>VLOOKUP(C252,Products!A:E,4,0)</f>
        <v>15</v>
      </c>
      <c r="J252" t="str">
        <f>_xlfn.XLOOKUP(B252,Customers!A:A,Customers!B:B)</f>
        <v>Mariam Javed</v>
      </c>
      <c r="K252" t="str">
        <f>_xlfn.XLOOKUP(B252,Customers!A:A,Customers!C:C)</f>
        <v>Rawalpindi</v>
      </c>
      <c r="L252" t="str">
        <f>_xlfn.XLOOKUP(B252,Customers!A:A,Customers!D:D)</f>
        <v>Bronze</v>
      </c>
      <c r="M252">
        <f t="shared" si="3"/>
        <v>15</v>
      </c>
      <c r="N252" t="str">
        <f>_xlfn.XLOOKUP(C252,Products!A:A,Products!E:E)</f>
        <v>Karachi</v>
      </c>
    </row>
    <row r="253" spans="1:14" x14ac:dyDescent="0.25">
      <c r="A253" t="s">
        <v>324</v>
      </c>
      <c r="B253" t="s">
        <v>11</v>
      </c>
      <c r="C253" t="s">
        <v>50</v>
      </c>
      <c r="D253">
        <v>4</v>
      </c>
      <c r="E253" s="1">
        <v>46238</v>
      </c>
      <c r="F253" t="s">
        <v>9</v>
      </c>
      <c r="G253" t="str">
        <f>VLOOKUP(C253,Products!A:E,2,0)</f>
        <v>Bluetooth Speaker</v>
      </c>
      <c r="H253" t="str">
        <f>VLOOKUP(C253,Products!A:E,3,0)</f>
        <v>Electronics</v>
      </c>
      <c r="I253">
        <f>VLOOKUP(C253,Products!A:E,4,0)</f>
        <v>95</v>
      </c>
      <c r="J253" t="str">
        <f>_xlfn.XLOOKUP(B253,Customers!A:A,Customers!B:B)</f>
        <v>Rabia Tariq</v>
      </c>
      <c r="K253" t="str">
        <f>_xlfn.XLOOKUP(B253,Customers!A:A,Customers!C:C)</f>
        <v>Karachi</v>
      </c>
      <c r="L253" t="str">
        <f>_xlfn.XLOOKUP(B253,Customers!A:A,Customers!D:D)</f>
        <v>Gold</v>
      </c>
      <c r="M253">
        <f t="shared" si="3"/>
        <v>380</v>
      </c>
      <c r="N253" t="str">
        <f>_xlfn.XLOOKUP(C253,Products!A:A,Products!E:E)</f>
        <v>Karachi</v>
      </c>
    </row>
    <row r="254" spans="1:14" x14ac:dyDescent="0.25">
      <c r="A254" t="s">
        <v>325</v>
      </c>
      <c r="B254" t="s">
        <v>14</v>
      </c>
      <c r="C254" t="s">
        <v>18</v>
      </c>
      <c r="D254">
        <v>2</v>
      </c>
      <c r="E254" s="1">
        <v>46239</v>
      </c>
      <c r="F254" t="s">
        <v>9</v>
      </c>
      <c r="G254" t="str">
        <f>VLOOKUP(C254,Products!A:E,2,0)</f>
        <v>Hair Serum</v>
      </c>
      <c r="H254" t="str">
        <f>VLOOKUP(C254,Products!A:E,3,0)</f>
        <v>Beauty</v>
      </c>
      <c r="I254">
        <f>VLOOKUP(C254,Products!A:E,4,0)</f>
        <v>35</v>
      </c>
      <c r="J254" t="str">
        <f>_xlfn.XLOOKUP(B254,Customers!A:A,Customers!B:B)</f>
        <v>Omar Tariq</v>
      </c>
      <c r="K254" t="str">
        <f>_xlfn.XLOOKUP(B254,Customers!A:A,Customers!C:C)</f>
        <v>Karachi</v>
      </c>
      <c r="L254" t="str">
        <f>_xlfn.XLOOKUP(B254,Customers!A:A,Customers!D:D)</f>
        <v>Gold</v>
      </c>
      <c r="M254">
        <f t="shared" si="3"/>
        <v>70</v>
      </c>
      <c r="N254" t="str">
        <f>_xlfn.XLOOKUP(C254,Products!A:A,Products!E:E)</f>
        <v>Islamabad</v>
      </c>
    </row>
    <row r="255" spans="1:14" x14ac:dyDescent="0.25">
      <c r="A255" t="s">
        <v>326</v>
      </c>
      <c r="B255" t="s">
        <v>17</v>
      </c>
      <c r="C255" t="s">
        <v>12</v>
      </c>
      <c r="D255">
        <v>1</v>
      </c>
      <c r="E255" s="1">
        <v>46239</v>
      </c>
      <c r="F255" t="s">
        <v>9</v>
      </c>
      <c r="G255" t="str">
        <f>VLOOKUP(C255,Products!A:E,2,0)</f>
        <v>Air Fryer</v>
      </c>
      <c r="H255" t="str">
        <f>VLOOKUP(C255,Products!A:E,3,0)</f>
        <v>Home &amp; Kitchen</v>
      </c>
      <c r="I255">
        <f>VLOOKUP(C255,Products!A:E,4,0)</f>
        <v>150</v>
      </c>
      <c r="J255" t="str">
        <f>_xlfn.XLOOKUP(B255,Customers!A:A,Customers!B:B)</f>
        <v>Faisal Chaudhry</v>
      </c>
      <c r="K255" t="str">
        <f>_xlfn.XLOOKUP(B255,Customers!A:A,Customers!C:C)</f>
        <v>Islamabad</v>
      </c>
      <c r="L255" t="str">
        <f>_xlfn.XLOOKUP(B255,Customers!A:A,Customers!D:D)</f>
        <v>Bronze</v>
      </c>
      <c r="M255">
        <f t="shared" si="3"/>
        <v>150</v>
      </c>
      <c r="N255" t="str">
        <f>_xlfn.XLOOKUP(C255,Products!A:A,Products!E:E)</f>
        <v>Lahore</v>
      </c>
    </row>
    <row r="256" spans="1:14" x14ac:dyDescent="0.25">
      <c r="A256" t="s">
        <v>327</v>
      </c>
      <c r="B256" t="s">
        <v>21</v>
      </c>
      <c r="C256" t="s">
        <v>15</v>
      </c>
      <c r="D256">
        <v>3</v>
      </c>
      <c r="E256" s="1">
        <v>46240</v>
      </c>
      <c r="F256" t="s">
        <v>9</v>
      </c>
      <c r="G256" t="str">
        <f>VLOOKUP(C256,Products!A:E,2,0)</f>
        <v>Phone Case</v>
      </c>
      <c r="H256" t="str">
        <f>VLOOKUP(C256,Products!A:E,3,0)</f>
        <v>Electronics</v>
      </c>
      <c r="I256">
        <f>VLOOKUP(C256,Products!A:E,4,0)</f>
        <v>12</v>
      </c>
      <c r="J256" t="str">
        <f>_xlfn.XLOOKUP(B256,Customers!A:A,Customers!B:B)</f>
        <v>Maryam Shah</v>
      </c>
      <c r="K256" t="str">
        <f>_xlfn.XLOOKUP(B256,Customers!A:A,Customers!C:C)</f>
        <v>Karachi</v>
      </c>
      <c r="L256" t="str">
        <f>_xlfn.XLOOKUP(B256,Customers!A:A,Customers!D:D)</f>
        <v>Bronze</v>
      </c>
      <c r="M256">
        <f t="shared" si="3"/>
        <v>36</v>
      </c>
      <c r="N256" t="str">
        <f>_xlfn.XLOOKUP(C256,Products!A:A,Products!E:E)</f>
        <v>Islamabad</v>
      </c>
    </row>
    <row r="257" spans="1:14" x14ac:dyDescent="0.25">
      <c r="A257" t="s">
        <v>328</v>
      </c>
      <c r="B257" t="s">
        <v>24</v>
      </c>
      <c r="C257" t="s">
        <v>32</v>
      </c>
      <c r="D257">
        <v>2</v>
      </c>
      <c r="E257" s="1">
        <v>46240</v>
      </c>
      <c r="F257" t="s">
        <v>9</v>
      </c>
      <c r="G257" t="str">
        <f>VLOOKUP(C257,Products!A:E,2,0)</f>
        <v>Coffee Maker</v>
      </c>
      <c r="H257" t="str">
        <f>VLOOKUP(C257,Products!A:E,3,0)</f>
        <v>Home &amp; Kitchen</v>
      </c>
      <c r="I257">
        <f>VLOOKUP(C257,Products!A:E,4,0)</f>
        <v>110</v>
      </c>
      <c r="J257" t="str">
        <f>_xlfn.XLOOKUP(B257,Customers!A:A,Customers!B:B)</f>
        <v>Bilal Raza</v>
      </c>
      <c r="K257" t="str">
        <f>_xlfn.XLOOKUP(B257,Customers!A:A,Customers!C:C)</f>
        <v>Islamabad</v>
      </c>
      <c r="L257" t="str">
        <f>_xlfn.XLOOKUP(B257,Customers!A:A,Customers!D:D)</f>
        <v>Bronze</v>
      </c>
      <c r="M257">
        <f t="shared" si="3"/>
        <v>220</v>
      </c>
      <c r="N257" t="str">
        <f>_xlfn.XLOOKUP(C257,Products!A:A,Products!E:E)</f>
        <v>Karachi</v>
      </c>
    </row>
    <row r="258" spans="1:14" x14ac:dyDescent="0.25">
      <c r="A258" t="s">
        <v>329</v>
      </c>
      <c r="B258" t="s">
        <v>27</v>
      </c>
      <c r="C258" t="s">
        <v>35</v>
      </c>
      <c r="D258">
        <v>1</v>
      </c>
      <c r="E258" s="1">
        <v>46241</v>
      </c>
      <c r="F258" t="s">
        <v>9</v>
      </c>
      <c r="G258" t="str">
        <f>VLOOKUP(C258,Products!A:E,2,0)</f>
        <v>Face Serum</v>
      </c>
      <c r="H258" t="str">
        <f>VLOOKUP(C258,Products!A:E,3,0)</f>
        <v>Beauty</v>
      </c>
      <c r="I258">
        <f>VLOOKUP(C258,Products!A:E,4,0)</f>
        <v>30</v>
      </c>
      <c r="J258" t="str">
        <f>_xlfn.XLOOKUP(B258,Customers!A:A,Customers!B:B)</f>
        <v>Amna Rizvi</v>
      </c>
      <c r="K258" t="str">
        <f>_xlfn.XLOOKUP(B258,Customers!A:A,Customers!C:C)</f>
        <v>Lahore</v>
      </c>
      <c r="L258" t="str">
        <f>_xlfn.XLOOKUP(B258,Customers!A:A,Customers!D:D)</f>
        <v>Bronze</v>
      </c>
      <c r="M258">
        <f t="shared" si="3"/>
        <v>30</v>
      </c>
      <c r="N258" t="str">
        <f>_xlfn.XLOOKUP(C258,Products!A:A,Products!E:E)</f>
        <v>Lahore</v>
      </c>
    </row>
    <row r="259" spans="1:14" x14ac:dyDescent="0.25">
      <c r="A259" t="s">
        <v>330</v>
      </c>
      <c r="B259" t="s">
        <v>31</v>
      </c>
      <c r="C259" t="s">
        <v>38</v>
      </c>
      <c r="D259">
        <v>4</v>
      </c>
      <c r="E259" s="1">
        <v>46241</v>
      </c>
      <c r="F259" t="s">
        <v>9</v>
      </c>
      <c r="G259" t="str">
        <f>VLOOKUP(C259,Products!A:E,2,0)</f>
        <v>Rice Cooker</v>
      </c>
      <c r="H259" t="str">
        <f>VLOOKUP(C259,Products!A:E,3,0)</f>
        <v>Home &amp; Kitchen</v>
      </c>
      <c r="I259">
        <f>VLOOKUP(C259,Products!A:E,4,0)</f>
        <v>95</v>
      </c>
      <c r="J259" t="str">
        <f>_xlfn.XLOOKUP(B259,Customers!A:A,Customers!B:B)</f>
        <v>Sana Malik</v>
      </c>
      <c r="K259" t="str">
        <f>_xlfn.XLOOKUP(B259,Customers!A:A,Customers!C:C)</f>
        <v>Lahore</v>
      </c>
      <c r="L259" t="str">
        <f>_xlfn.XLOOKUP(B259,Customers!A:A,Customers!D:D)</f>
        <v>Silver</v>
      </c>
      <c r="M259">
        <f t="shared" ref="M259:M301" si="4">D259*I259</f>
        <v>380</v>
      </c>
      <c r="N259" t="str">
        <f>_xlfn.XLOOKUP(C259,Products!A:A,Products!E:E)</f>
        <v>Rawalpindi</v>
      </c>
    </row>
    <row r="260" spans="1:14" x14ac:dyDescent="0.25">
      <c r="A260" t="s">
        <v>331</v>
      </c>
      <c r="B260" t="s">
        <v>34</v>
      </c>
      <c r="C260" t="s">
        <v>44</v>
      </c>
      <c r="D260">
        <v>2</v>
      </c>
      <c r="E260" s="1">
        <v>46242</v>
      </c>
      <c r="F260" t="s">
        <v>9</v>
      </c>
      <c r="G260" t="str">
        <f>VLOOKUP(C260,Products!A:E,2,0)</f>
        <v>Moisturizer</v>
      </c>
      <c r="H260" t="str">
        <f>VLOOKUP(C260,Products!A:E,3,0)</f>
        <v>Beauty</v>
      </c>
      <c r="I260">
        <f>VLOOKUP(C260,Products!A:E,4,0)</f>
        <v>25</v>
      </c>
      <c r="J260" t="str">
        <f>_xlfn.XLOOKUP(B260,Customers!A:A,Customers!B:B)</f>
        <v>Farah Noor</v>
      </c>
      <c r="K260" t="str">
        <f>_xlfn.XLOOKUP(B260,Customers!A:A,Customers!C:C)</f>
        <v>Karachi</v>
      </c>
      <c r="L260" t="str">
        <f>_xlfn.XLOOKUP(B260,Customers!A:A,Customers!D:D)</f>
        <v>Silver</v>
      </c>
      <c r="M260">
        <f t="shared" si="4"/>
        <v>50</v>
      </c>
      <c r="N260" t="str">
        <f>_xlfn.XLOOKUP(C260,Products!A:A,Products!E:E)</f>
        <v>Lahore</v>
      </c>
    </row>
    <row r="261" spans="1:14" x14ac:dyDescent="0.25">
      <c r="A261" t="s">
        <v>332</v>
      </c>
      <c r="B261" t="s">
        <v>37</v>
      </c>
      <c r="C261" t="s">
        <v>28</v>
      </c>
      <c r="D261">
        <v>1</v>
      </c>
      <c r="E261" s="1">
        <v>46242</v>
      </c>
      <c r="F261" t="s">
        <v>19</v>
      </c>
      <c r="G261" t="str">
        <f>VLOOKUP(C261,Products!A:E,2,0)</f>
        <v>Wireless Earbuds</v>
      </c>
      <c r="H261" t="str">
        <f>VLOOKUP(C261,Products!A:E,3,0)</f>
        <v>Electronics</v>
      </c>
      <c r="I261">
        <f>VLOOKUP(C261,Products!A:E,4,0)</f>
        <v>45</v>
      </c>
      <c r="J261" t="str">
        <f>_xlfn.XLOOKUP(B261,Customers!A:A,Customers!B:B)</f>
        <v>Talha Mirza</v>
      </c>
      <c r="K261" t="str">
        <f>_xlfn.XLOOKUP(B261,Customers!A:A,Customers!C:C)</f>
        <v>Lahore</v>
      </c>
      <c r="L261" t="str">
        <f>_xlfn.XLOOKUP(B261,Customers!A:A,Customers!D:D)</f>
        <v>Bronze</v>
      </c>
      <c r="M261">
        <f t="shared" si="4"/>
        <v>45</v>
      </c>
      <c r="N261" t="str">
        <f>_xlfn.XLOOKUP(C261,Products!A:A,Products!E:E)</f>
        <v>Lahore</v>
      </c>
    </row>
    <row r="262" spans="1:14" x14ac:dyDescent="0.25">
      <c r="A262" t="s">
        <v>333</v>
      </c>
      <c r="B262" t="s">
        <v>40</v>
      </c>
      <c r="C262" t="s">
        <v>47</v>
      </c>
      <c r="D262">
        <v>3</v>
      </c>
      <c r="E262" s="1">
        <v>46243</v>
      </c>
      <c r="F262" t="s">
        <v>9</v>
      </c>
      <c r="G262" t="str">
        <f>VLOOKUP(C262,Products!A:E,2,0)</f>
        <v>Blender</v>
      </c>
      <c r="H262" t="str">
        <f>VLOOKUP(C262,Products!A:E,3,0)</f>
        <v>Home &amp; Kitchen</v>
      </c>
      <c r="I262">
        <f>VLOOKUP(C262,Products!A:E,4,0)</f>
        <v>120</v>
      </c>
      <c r="J262" t="str">
        <f>_xlfn.XLOOKUP(B262,Customers!A:A,Customers!B:B)</f>
        <v>Ayesha Siddiqui</v>
      </c>
      <c r="K262" t="str">
        <f>_xlfn.XLOOKUP(B262,Customers!A:A,Customers!C:C)</f>
        <v>Islamabad</v>
      </c>
      <c r="L262" t="str">
        <f>_xlfn.XLOOKUP(B262,Customers!A:A,Customers!D:D)</f>
        <v>Silver</v>
      </c>
      <c r="M262">
        <f t="shared" si="4"/>
        <v>360</v>
      </c>
      <c r="N262" t="str">
        <f>_xlfn.XLOOKUP(C262,Products!A:A,Products!E:E)</f>
        <v>Islamabad</v>
      </c>
    </row>
    <row r="263" spans="1:14" x14ac:dyDescent="0.25">
      <c r="A263" t="s">
        <v>334</v>
      </c>
      <c r="B263" t="s">
        <v>43</v>
      </c>
      <c r="C263" t="s">
        <v>8</v>
      </c>
      <c r="D263">
        <v>2</v>
      </c>
      <c r="E263" s="1">
        <v>46243</v>
      </c>
      <c r="F263" t="s">
        <v>9</v>
      </c>
      <c r="G263" t="str">
        <f>VLOOKUP(C263,Products!A:E,2,0)</f>
        <v>Laptop Stand</v>
      </c>
      <c r="H263" t="str">
        <f>VLOOKUP(C263,Products!A:E,3,0)</f>
        <v>Electronics</v>
      </c>
      <c r="I263">
        <f>VLOOKUP(C263,Products!A:E,4,0)</f>
        <v>40</v>
      </c>
      <c r="J263" t="str">
        <f>_xlfn.XLOOKUP(B263,Customers!A:A,Customers!B:B)</f>
        <v>Ali Hussain</v>
      </c>
      <c r="K263" t="str">
        <f>_xlfn.XLOOKUP(B263,Customers!A:A,Customers!C:C)</f>
        <v>Karachi</v>
      </c>
      <c r="L263" t="str">
        <f>_xlfn.XLOOKUP(B263,Customers!A:A,Customers!D:D)</f>
        <v>Gold</v>
      </c>
      <c r="M263">
        <f t="shared" si="4"/>
        <v>80</v>
      </c>
      <c r="N263" t="str">
        <f>_xlfn.XLOOKUP(C263,Products!A:A,Products!E:E)</f>
        <v>Rawalpindi</v>
      </c>
    </row>
    <row r="264" spans="1:14" x14ac:dyDescent="0.25">
      <c r="A264" t="s">
        <v>335</v>
      </c>
      <c r="B264" t="s">
        <v>46</v>
      </c>
      <c r="C264" t="s">
        <v>53</v>
      </c>
      <c r="D264">
        <v>1</v>
      </c>
      <c r="E264" s="1">
        <v>46244</v>
      </c>
      <c r="F264" t="s">
        <v>9</v>
      </c>
      <c r="G264" t="str">
        <f>VLOOKUP(C264,Products!A:E,2,0)</f>
        <v>Night Cream</v>
      </c>
      <c r="H264" t="str">
        <f>VLOOKUP(C264,Products!A:E,3,0)</f>
        <v>Beauty</v>
      </c>
      <c r="I264">
        <f>VLOOKUP(C264,Products!A:E,4,0)</f>
        <v>40</v>
      </c>
      <c r="J264" t="str">
        <f>_xlfn.XLOOKUP(B264,Customers!A:A,Customers!B:B)</f>
        <v>Noor Fatima</v>
      </c>
      <c r="K264" t="str">
        <f>_xlfn.XLOOKUP(B264,Customers!A:A,Customers!C:C)</f>
        <v>Lahore</v>
      </c>
      <c r="L264" t="str">
        <f>_xlfn.XLOOKUP(B264,Customers!A:A,Customers!D:D)</f>
        <v>Gold</v>
      </c>
      <c r="M264">
        <f t="shared" si="4"/>
        <v>40</v>
      </c>
      <c r="N264" t="str">
        <f>_xlfn.XLOOKUP(C264,Products!A:A,Products!E:E)</f>
        <v>Faisalabad</v>
      </c>
    </row>
    <row r="265" spans="1:14" x14ac:dyDescent="0.25">
      <c r="A265" t="s">
        <v>336</v>
      </c>
      <c r="B265" t="s">
        <v>49</v>
      </c>
      <c r="C265" t="s">
        <v>25</v>
      </c>
      <c r="D265">
        <v>4</v>
      </c>
      <c r="E265" s="1">
        <v>46244</v>
      </c>
      <c r="F265" t="s">
        <v>9</v>
      </c>
      <c r="G265" t="str">
        <f>VLOOKUP(C265,Products!A:E,2,0)</f>
        <v>Sunscreen</v>
      </c>
      <c r="H265" t="str">
        <f>VLOOKUP(C265,Products!A:E,3,0)</f>
        <v>Beauty</v>
      </c>
      <c r="I265">
        <f>VLOOKUP(C265,Products!A:E,4,0)</f>
        <v>15</v>
      </c>
      <c r="J265" t="str">
        <f>_xlfn.XLOOKUP(B265,Customers!A:A,Customers!B:B)</f>
        <v>Zainab Hussain</v>
      </c>
      <c r="K265" t="str">
        <f>_xlfn.XLOOKUP(B265,Customers!A:A,Customers!C:C)</f>
        <v>Lahore</v>
      </c>
      <c r="L265" t="str">
        <f>_xlfn.XLOOKUP(B265,Customers!A:A,Customers!D:D)</f>
        <v>Bronze</v>
      </c>
      <c r="M265">
        <f t="shared" si="4"/>
        <v>60</v>
      </c>
      <c r="N265" t="str">
        <f>_xlfn.XLOOKUP(C265,Products!A:A,Products!E:E)</f>
        <v>Karachi</v>
      </c>
    </row>
    <row r="266" spans="1:14" x14ac:dyDescent="0.25">
      <c r="A266" t="s">
        <v>337</v>
      </c>
      <c r="B266" t="s">
        <v>52</v>
      </c>
      <c r="C266" t="s">
        <v>50</v>
      </c>
      <c r="D266">
        <v>2</v>
      </c>
      <c r="E266" s="1">
        <v>46245</v>
      </c>
      <c r="F266" t="s">
        <v>9</v>
      </c>
      <c r="G266" t="str">
        <f>VLOOKUP(C266,Products!A:E,2,0)</f>
        <v>Bluetooth Speaker</v>
      </c>
      <c r="H266" t="str">
        <f>VLOOKUP(C266,Products!A:E,3,0)</f>
        <v>Electronics</v>
      </c>
      <c r="I266">
        <f>VLOOKUP(C266,Products!A:E,4,0)</f>
        <v>95</v>
      </c>
      <c r="J266" t="str">
        <f>_xlfn.XLOOKUP(B266,Customers!A:A,Customers!B:B)</f>
        <v>Bilal Sheikh</v>
      </c>
      <c r="K266" t="str">
        <f>_xlfn.XLOOKUP(B266,Customers!A:A,Customers!C:C)</f>
        <v>Rawalpindi</v>
      </c>
      <c r="L266" t="str">
        <f>_xlfn.XLOOKUP(B266,Customers!A:A,Customers!D:D)</f>
        <v>Bronze</v>
      </c>
      <c r="M266">
        <f t="shared" si="4"/>
        <v>190</v>
      </c>
      <c r="N266" t="str">
        <f>_xlfn.XLOOKUP(C266,Products!A:A,Products!E:E)</f>
        <v>Karachi</v>
      </c>
    </row>
    <row r="267" spans="1:14" x14ac:dyDescent="0.25">
      <c r="A267" t="s">
        <v>338</v>
      </c>
      <c r="B267" t="s">
        <v>55</v>
      </c>
      <c r="C267" t="s">
        <v>18</v>
      </c>
      <c r="D267">
        <v>1</v>
      </c>
      <c r="E267" s="1">
        <v>46245</v>
      </c>
      <c r="F267" t="s">
        <v>9</v>
      </c>
      <c r="G267" t="str">
        <f>VLOOKUP(C267,Products!A:E,2,0)</f>
        <v>Hair Serum</v>
      </c>
      <c r="H267" t="str">
        <f>VLOOKUP(C267,Products!A:E,3,0)</f>
        <v>Beauty</v>
      </c>
      <c r="I267">
        <f>VLOOKUP(C267,Products!A:E,4,0)</f>
        <v>35</v>
      </c>
      <c r="J267" t="str">
        <f>_xlfn.XLOOKUP(B267,Customers!A:A,Customers!B:B)</f>
        <v>Omer Farooq</v>
      </c>
      <c r="K267" t="str">
        <f>_xlfn.XLOOKUP(B267,Customers!A:A,Customers!C:C)</f>
        <v>Islamabad</v>
      </c>
      <c r="L267" t="str">
        <f>_xlfn.XLOOKUP(B267,Customers!A:A,Customers!D:D)</f>
        <v>Silver</v>
      </c>
      <c r="M267">
        <f t="shared" si="4"/>
        <v>35</v>
      </c>
      <c r="N267" t="str">
        <f>_xlfn.XLOOKUP(C267,Products!A:A,Products!E:E)</f>
        <v>Islamabad</v>
      </c>
    </row>
    <row r="268" spans="1:14" x14ac:dyDescent="0.25">
      <c r="A268" t="s">
        <v>339</v>
      </c>
      <c r="B268" t="s">
        <v>57</v>
      </c>
      <c r="C268" t="s">
        <v>12</v>
      </c>
      <c r="D268">
        <v>3</v>
      </c>
      <c r="E268" s="1">
        <v>46246</v>
      </c>
      <c r="F268" t="s">
        <v>9</v>
      </c>
      <c r="G268" t="str">
        <f>VLOOKUP(C268,Products!A:E,2,0)</f>
        <v>Air Fryer</v>
      </c>
      <c r="H268" t="str">
        <f>VLOOKUP(C268,Products!A:E,3,0)</f>
        <v>Home &amp; Kitchen</v>
      </c>
      <c r="I268">
        <f>VLOOKUP(C268,Products!A:E,4,0)</f>
        <v>150</v>
      </c>
      <c r="J268" t="str">
        <f>_xlfn.XLOOKUP(B268,Customers!A:A,Customers!B:B)</f>
        <v>Hamza Tariq</v>
      </c>
      <c r="K268" t="str">
        <f>_xlfn.XLOOKUP(B268,Customers!A:A,Customers!C:C)</f>
        <v>Karachi</v>
      </c>
      <c r="L268" t="str">
        <f>_xlfn.XLOOKUP(B268,Customers!A:A,Customers!D:D)</f>
        <v>Silver</v>
      </c>
      <c r="M268">
        <f t="shared" si="4"/>
        <v>450</v>
      </c>
      <c r="N268" t="str">
        <f>_xlfn.XLOOKUP(C268,Products!A:A,Products!E:E)</f>
        <v>Lahore</v>
      </c>
    </row>
    <row r="269" spans="1:14" x14ac:dyDescent="0.25">
      <c r="A269" t="s">
        <v>340</v>
      </c>
      <c r="B269" t="s">
        <v>59</v>
      </c>
      <c r="C269" t="s">
        <v>15</v>
      </c>
      <c r="D269">
        <v>2</v>
      </c>
      <c r="E269" s="1">
        <v>46246</v>
      </c>
      <c r="F269" t="s">
        <v>9</v>
      </c>
      <c r="G269" t="str">
        <f>VLOOKUP(C269,Products!A:E,2,0)</f>
        <v>Phone Case</v>
      </c>
      <c r="H269" t="str">
        <f>VLOOKUP(C269,Products!A:E,3,0)</f>
        <v>Electronics</v>
      </c>
      <c r="I269">
        <f>VLOOKUP(C269,Products!A:E,4,0)</f>
        <v>12</v>
      </c>
      <c r="J269" t="str">
        <f>_xlfn.XLOOKUP(B269,Customers!A:A,Customers!B:B)</f>
        <v>Tariq Mehmood</v>
      </c>
      <c r="K269" t="str">
        <f>_xlfn.XLOOKUP(B269,Customers!A:A,Customers!C:C)</f>
        <v>Islamabad</v>
      </c>
      <c r="L269" t="str">
        <f>_xlfn.XLOOKUP(B269,Customers!A:A,Customers!D:D)</f>
        <v>Gold</v>
      </c>
      <c r="M269">
        <f t="shared" si="4"/>
        <v>24</v>
      </c>
      <c r="N269" t="str">
        <f>_xlfn.XLOOKUP(C269,Products!A:A,Products!E:E)</f>
        <v>Islamabad</v>
      </c>
    </row>
    <row r="270" spans="1:14" x14ac:dyDescent="0.25">
      <c r="A270" t="s">
        <v>341</v>
      </c>
      <c r="B270" t="s">
        <v>61</v>
      </c>
      <c r="C270" t="s">
        <v>32</v>
      </c>
      <c r="D270">
        <v>1</v>
      </c>
      <c r="E270" s="1">
        <v>46247</v>
      </c>
      <c r="F270" t="s">
        <v>9</v>
      </c>
      <c r="G270" t="str">
        <f>VLOOKUP(C270,Products!A:E,2,0)</f>
        <v>Coffee Maker</v>
      </c>
      <c r="H270" t="str">
        <f>VLOOKUP(C270,Products!A:E,3,0)</f>
        <v>Home &amp; Kitchen</v>
      </c>
      <c r="I270">
        <f>VLOOKUP(C270,Products!A:E,4,0)</f>
        <v>110</v>
      </c>
      <c r="J270" t="str">
        <f>_xlfn.XLOOKUP(B270,Customers!A:A,Customers!B:B)</f>
        <v>Sara Ali</v>
      </c>
      <c r="K270" t="str">
        <f>_xlfn.XLOOKUP(B270,Customers!A:A,Customers!C:C)</f>
        <v>Lahore</v>
      </c>
      <c r="L270" t="str">
        <f>_xlfn.XLOOKUP(B270,Customers!A:A,Customers!D:D)</f>
        <v>Silver</v>
      </c>
      <c r="M270">
        <f t="shared" si="4"/>
        <v>110</v>
      </c>
      <c r="N270" t="str">
        <f>_xlfn.XLOOKUP(C270,Products!A:A,Products!E:E)</f>
        <v>Karachi</v>
      </c>
    </row>
    <row r="271" spans="1:14" x14ac:dyDescent="0.25">
      <c r="A271" t="s">
        <v>342</v>
      </c>
      <c r="B271" t="s">
        <v>63</v>
      </c>
      <c r="C271" t="s">
        <v>35</v>
      </c>
      <c r="D271">
        <v>4</v>
      </c>
      <c r="E271" s="1">
        <v>46247</v>
      </c>
      <c r="F271" t="s">
        <v>19</v>
      </c>
      <c r="G271" t="str">
        <f>VLOOKUP(C271,Products!A:E,2,0)</f>
        <v>Face Serum</v>
      </c>
      <c r="H271" t="str">
        <f>VLOOKUP(C271,Products!A:E,3,0)</f>
        <v>Beauty</v>
      </c>
      <c r="I271">
        <f>VLOOKUP(C271,Products!A:E,4,0)</f>
        <v>30</v>
      </c>
      <c r="J271" t="str">
        <f>_xlfn.XLOOKUP(B271,Customers!A:A,Customers!B:B)</f>
        <v>Zara Malik</v>
      </c>
      <c r="K271" t="str">
        <f>_xlfn.XLOOKUP(B271,Customers!A:A,Customers!C:C)</f>
        <v>Islamabad</v>
      </c>
      <c r="L271" t="str">
        <f>_xlfn.XLOOKUP(B271,Customers!A:A,Customers!D:D)</f>
        <v>Bronze</v>
      </c>
      <c r="M271">
        <f t="shared" si="4"/>
        <v>120</v>
      </c>
      <c r="N271" t="str">
        <f>_xlfn.XLOOKUP(C271,Products!A:A,Products!E:E)</f>
        <v>Lahore</v>
      </c>
    </row>
    <row r="272" spans="1:14" x14ac:dyDescent="0.25">
      <c r="A272" t="s">
        <v>343</v>
      </c>
      <c r="B272" t="s">
        <v>65</v>
      </c>
      <c r="C272" t="s">
        <v>38</v>
      </c>
      <c r="D272">
        <v>2</v>
      </c>
      <c r="E272" s="1">
        <v>46248</v>
      </c>
      <c r="F272" t="s">
        <v>9</v>
      </c>
      <c r="G272" t="str">
        <f>VLOOKUP(C272,Products!A:E,2,0)</f>
        <v>Rice Cooker</v>
      </c>
      <c r="H272" t="str">
        <f>VLOOKUP(C272,Products!A:E,3,0)</f>
        <v>Home &amp; Kitchen</v>
      </c>
      <c r="I272">
        <f>VLOOKUP(C272,Products!A:E,4,0)</f>
        <v>95</v>
      </c>
      <c r="J272" t="str">
        <f>_xlfn.XLOOKUP(B272,Customers!A:A,Customers!B:B)</f>
        <v>Rabia Noor</v>
      </c>
      <c r="K272" t="str">
        <f>_xlfn.XLOOKUP(B272,Customers!A:A,Customers!C:C)</f>
        <v>Karachi</v>
      </c>
      <c r="L272" t="str">
        <f>_xlfn.XLOOKUP(B272,Customers!A:A,Customers!D:D)</f>
        <v>Gold</v>
      </c>
      <c r="M272">
        <f t="shared" si="4"/>
        <v>190</v>
      </c>
      <c r="N272" t="str">
        <f>_xlfn.XLOOKUP(C272,Products!A:A,Products!E:E)</f>
        <v>Rawalpindi</v>
      </c>
    </row>
    <row r="273" spans="1:14" x14ac:dyDescent="0.25">
      <c r="A273" t="s">
        <v>344</v>
      </c>
      <c r="B273" t="s">
        <v>67</v>
      </c>
      <c r="C273" t="s">
        <v>44</v>
      </c>
      <c r="D273">
        <v>1</v>
      </c>
      <c r="E273" s="1">
        <v>46248</v>
      </c>
      <c r="F273" t="s">
        <v>9</v>
      </c>
      <c r="G273" t="str">
        <f>VLOOKUP(C273,Products!A:E,2,0)</f>
        <v>Moisturizer</v>
      </c>
      <c r="H273" t="str">
        <f>VLOOKUP(C273,Products!A:E,3,0)</f>
        <v>Beauty</v>
      </c>
      <c r="I273">
        <f>VLOOKUP(C273,Products!A:E,4,0)</f>
        <v>25</v>
      </c>
      <c r="J273" t="str">
        <f>_xlfn.XLOOKUP(B273,Customers!A:A,Customers!B:B)</f>
        <v>Kamran Iqbal</v>
      </c>
      <c r="K273" t="str">
        <f>_xlfn.XLOOKUP(B273,Customers!A:A,Customers!C:C)</f>
        <v>Faisalabad</v>
      </c>
      <c r="L273" t="str">
        <f>_xlfn.XLOOKUP(B273,Customers!A:A,Customers!D:D)</f>
        <v>Gold</v>
      </c>
      <c r="M273">
        <f t="shared" si="4"/>
        <v>25</v>
      </c>
      <c r="N273" t="str">
        <f>_xlfn.XLOOKUP(C273,Products!A:A,Products!E:E)</f>
        <v>Lahore</v>
      </c>
    </row>
    <row r="274" spans="1:14" x14ac:dyDescent="0.25">
      <c r="A274" t="s">
        <v>345</v>
      </c>
      <c r="B274" t="s">
        <v>69</v>
      </c>
      <c r="C274" t="s">
        <v>28</v>
      </c>
      <c r="D274">
        <v>3</v>
      </c>
      <c r="E274" s="1">
        <v>46249</v>
      </c>
      <c r="F274" t="s">
        <v>9</v>
      </c>
      <c r="G274" t="str">
        <f>VLOOKUP(C274,Products!A:E,2,0)</f>
        <v>Wireless Earbuds</v>
      </c>
      <c r="H274" t="str">
        <f>VLOOKUP(C274,Products!A:E,3,0)</f>
        <v>Electronics</v>
      </c>
      <c r="I274">
        <f>VLOOKUP(C274,Products!A:E,4,0)</f>
        <v>45</v>
      </c>
      <c r="J274" t="str">
        <f>_xlfn.XLOOKUP(B274,Customers!A:A,Customers!B:B)</f>
        <v>Nabeel Awan</v>
      </c>
      <c r="K274" t="str">
        <f>_xlfn.XLOOKUP(B274,Customers!A:A,Customers!C:C)</f>
        <v>Islamabad</v>
      </c>
      <c r="L274" t="str">
        <f>_xlfn.XLOOKUP(B274,Customers!A:A,Customers!D:D)</f>
        <v>Bronze</v>
      </c>
      <c r="M274">
        <f t="shared" si="4"/>
        <v>135</v>
      </c>
      <c r="N274" t="str">
        <f>_xlfn.XLOOKUP(C274,Products!A:A,Products!E:E)</f>
        <v>Lahore</v>
      </c>
    </row>
    <row r="275" spans="1:14" x14ac:dyDescent="0.25">
      <c r="A275" t="s">
        <v>346</v>
      </c>
      <c r="B275" t="s">
        <v>71</v>
      </c>
      <c r="C275" t="s">
        <v>47</v>
      </c>
      <c r="D275">
        <v>2</v>
      </c>
      <c r="E275" s="1">
        <v>46249</v>
      </c>
      <c r="F275" t="s">
        <v>9</v>
      </c>
      <c r="G275" t="str">
        <f>VLOOKUP(C275,Products!A:E,2,0)</f>
        <v>Blender</v>
      </c>
      <c r="H275" t="str">
        <f>VLOOKUP(C275,Products!A:E,3,0)</f>
        <v>Home &amp; Kitchen</v>
      </c>
      <c r="I275">
        <f>VLOOKUP(C275,Products!A:E,4,0)</f>
        <v>120</v>
      </c>
      <c r="J275" t="str">
        <f>_xlfn.XLOOKUP(B275,Customers!A:A,Customers!B:B)</f>
        <v>Bilal Ahmed</v>
      </c>
      <c r="K275" t="str">
        <f>_xlfn.XLOOKUP(B275,Customers!A:A,Customers!C:C)</f>
        <v>Faisalabad</v>
      </c>
      <c r="L275" t="str">
        <f>_xlfn.XLOOKUP(B275,Customers!A:A,Customers!D:D)</f>
        <v>Bronze</v>
      </c>
      <c r="M275">
        <f t="shared" si="4"/>
        <v>240</v>
      </c>
      <c r="N275" t="str">
        <f>_xlfn.XLOOKUP(C275,Products!A:A,Products!E:E)</f>
        <v>Islamabad</v>
      </c>
    </row>
    <row r="276" spans="1:14" x14ac:dyDescent="0.25">
      <c r="A276" t="s">
        <v>347</v>
      </c>
      <c r="B276" t="s">
        <v>73</v>
      </c>
      <c r="C276" t="s">
        <v>8</v>
      </c>
      <c r="D276">
        <v>1</v>
      </c>
      <c r="E276" s="1">
        <v>46250</v>
      </c>
      <c r="F276" t="s">
        <v>9</v>
      </c>
      <c r="G276" t="str">
        <f>VLOOKUP(C276,Products!A:E,2,0)</f>
        <v>Laptop Stand</v>
      </c>
      <c r="H276" t="str">
        <f>VLOOKUP(C276,Products!A:E,3,0)</f>
        <v>Electronics</v>
      </c>
      <c r="I276">
        <f>VLOOKUP(C276,Products!A:E,4,0)</f>
        <v>40</v>
      </c>
      <c r="J276" t="str">
        <f>_xlfn.XLOOKUP(B276,Customers!A:A,Customers!B:B)</f>
        <v>Imran Satti</v>
      </c>
      <c r="K276" t="str">
        <f>_xlfn.XLOOKUP(B276,Customers!A:A,Customers!C:C)</f>
        <v>Islamabad</v>
      </c>
      <c r="L276" t="str">
        <f>_xlfn.XLOOKUP(B276,Customers!A:A,Customers!D:D)</f>
        <v>Gold</v>
      </c>
      <c r="M276">
        <f t="shared" si="4"/>
        <v>40</v>
      </c>
      <c r="N276" t="str">
        <f>_xlfn.XLOOKUP(C276,Products!A:A,Products!E:E)</f>
        <v>Rawalpindi</v>
      </c>
    </row>
    <row r="277" spans="1:14" x14ac:dyDescent="0.25">
      <c r="A277" t="s">
        <v>348</v>
      </c>
      <c r="B277" t="s">
        <v>75</v>
      </c>
      <c r="C277" t="s">
        <v>53</v>
      </c>
      <c r="D277">
        <v>4</v>
      </c>
      <c r="E277" s="1">
        <v>46250</v>
      </c>
      <c r="F277" t="s">
        <v>9</v>
      </c>
      <c r="G277" t="str">
        <f>VLOOKUP(C277,Products!A:E,2,0)</f>
        <v>Night Cream</v>
      </c>
      <c r="H277" t="str">
        <f>VLOOKUP(C277,Products!A:E,3,0)</f>
        <v>Beauty</v>
      </c>
      <c r="I277">
        <f>VLOOKUP(C277,Products!A:E,4,0)</f>
        <v>40</v>
      </c>
      <c r="J277" t="str">
        <f>_xlfn.XLOOKUP(B277,Customers!A:A,Customers!B:B)</f>
        <v>Imran Khan</v>
      </c>
      <c r="K277" t="str">
        <f>_xlfn.XLOOKUP(B277,Customers!A:A,Customers!C:C)</f>
        <v>Rawalpindi</v>
      </c>
      <c r="L277" t="str">
        <f>_xlfn.XLOOKUP(B277,Customers!A:A,Customers!D:D)</f>
        <v>Bronze</v>
      </c>
      <c r="M277">
        <f t="shared" si="4"/>
        <v>160</v>
      </c>
      <c r="N277" t="str">
        <f>_xlfn.XLOOKUP(C277,Products!A:A,Products!E:E)</f>
        <v>Faisalabad</v>
      </c>
    </row>
    <row r="278" spans="1:14" x14ac:dyDescent="0.25">
      <c r="A278" t="s">
        <v>349</v>
      </c>
      <c r="B278" t="s">
        <v>77</v>
      </c>
      <c r="C278" t="s">
        <v>25</v>
      </c>
      <c r="D278">
        <v>2</v>
      </c>
      <c r="E278" s="1">
        <v>46251</v>
      </c>
      <c r="F278" t="s">
        <v>9</v>
      </c>
      <c r="G278" t="str">
        <f>VLOOKUP(C278,Products!A:E,2,0)</f>
        <v>Sunscreen</v>
      </c>
      <c r="H278" t="str">
        <f>VLOOKUP(C278,Products!A:E,3,0)</f>
        <v>Beauty</v>
      </c>
      <c r="I278">
        <f>VLOOKUP(C278,Products!A:E,4,0)</f>
        <v>15</v>
      </c>
      <c r="J278" t="str">
        <f>_xlfn.XLOOKUP(B278,Customers!A:A,Customers!B:B)</f>
        <v>Hina Awan</v>
      </c>
      <c r="K278" t="str">
        <f>_xlfn.XLOOKUP(B278,Customers!A:A,Customers!C:C)</f>
        <v>Karachi</v>
      </c>
      <c r="L278" t="str">
        <f>_xlfn.XLOOKUP(B278,Customers!A:A,Customers!D:D)</f>
        <v>Silver</v>
      </c>
      <c r="M278">
        <f t="shared" si="4"/>
        <v>30</v>
      </c>
      <c r="N278" t="str">
        <f>_xlfn.XLOOKUP(C278,Products!A:A,Products!E:E)</f>
        <v>Karachi</v>
      </c>
    </row>
    <row r="279" spans="1:14" x14ac:dyDescent="0.25">
      <c r="A279" t="s">
        <v>350</v>
      </c>
      <c r="B279" t="s">
        <v>79</v>
      </c>
      <c r="C279" t="s">
        <v>50</v>
      </c>
      <c r="D279">
        <v>1</v>
      </c>
      <c r="E279" s="1">
        <v>46251</v>
      </c>
      <c r="F279" t="s">
        <v>9</v>
      </c>
      <c r="G279" t="str">
        <f>VLOOKUP(C279,Products!A:E,2,0)</f>
        <v>Bluetooth Speaker</v>
      </c>
      <c r="H279" t="str">
        <f>VLOOKUP(C279,Products!A:E,3,0)</f>
        <v>Electronics</v>
      </c>
      <c r="I279">
        <f>VLOOKUP(C279,Products!A:E,4,0)</f>
        <v>95</v>
      </c>
      <c r="J279" t="str">
        <f>_xlfn.XLOOKUP(B279,Customers!A:A,Customers!B:B)</f>
        <v>Sadia Awan</v>
      </c>
      <c r="K279" t="str">
        <f>_xlfn.XLOOKUP(B279,Customers!A:A,Customers!C:C)</f>
        <v>Lahore</v>
      </c>
      <c r="L279" t="str">
        <f>_xlfn.XLOOKUP(B279,Customers!A:A,Customers!D:D)</f>
        <v>Bronze</v>
      </c>
      <c r="M279">
        <f t="shared" si="4"/>
        <v>95</v>
      </c>
      <c r="N279" t="str">
        <f>_xlfn.XLOOKUP(C279,Products!A:A,Products!E:E)</f>
        <v>Karachi</v>
      </c>
    </row>
    <row r="280" spans="1:14" x14ac:dyDescent="0.25">
      <c r="A280" t="s">
        <v>351</v>
      </c>
      <c r="B280" t="s">
        <v>81</v>
      </c>
      <c r="C280" t="s">
        <v>18</v>
      </c>
      <c r="D280">
        <v>3</v>
      </c>
      <c r="E280" s="1">
        <v>46252</v>
      </c>
      <c r="F280" t="s">
        <v>9</v>
      </c>
      <c r="G280" t="str">
        <f>VLOOKUP(C280,Products!A:E,2,0)</f>
        <v>Hair Serum</v>
      </c>
      <c r="H280" t="str">
        <f>VLOOKUP(C280,Products!A:E,3,0)</f>
        <v>Beauty</v>
      </c>
      <c r="I280">
        <f>VLOOKUP(C280,Products!A:E,4,0)</f>
        <v>35</v>
      </c>
      <c r="J280" t="str">
        <f>_xlfn.XLOOKUP(B280,Customers!A:A,Customers!B:B)</f>
        <v>Ahmed Khan</v>
      </c>
      <c r="K280" t="str">
        <f>_xlfn.XLOOKUP(B280,Customers!A:A,Customers!C:C)</f>
        <v>Karachi</v>
      </c>
      <c r="L280" t="str">
        <f>_xlfn.XLOOKUP(B280,Customers!A:A,Customers!D:D)</f>
        <v>Gold</v>
      </c>
      <c r="M280">
        <f t="shared" si="4"/>
        <v>105</v>
      </c>
      <c r="N280" t="str">
        <f>_xlfn.XLOOKUP(C280,Products!A:A,Products!E:E)</f>
        <v>Islamabad</v>
      </c>
    </row>
    <row r="281" spans="1:14" x14ac:dyDescent="0.25">
      <c r="A281" t="s">
        <v>352</v>
      </c>
      <c r="B281" t="s">
        <v>83</v>
      </c>
      <c r="C281" t="s">
        <v>12</v>
      </c>
      <c r="D281">
        <v>2</v>
      </c>
      <c r="E281" s="1">
        <v>46252</v>
      </c>
      <c r="F281" t="s">
        <v>9</v>
      </c>
      <c r="G281" t="str">
        <f>VLOOKUP(C281,Products!A:E,2,0)</f>
        <v>Air Fryer</v>
      </c>
      <c r="H281" t="str">
        <f>VLOOKUP(C281,Products!A:E,3,0)</f>
        <v>Home &amp; Kitchen</v>
      </c>
      <c r="I281">
        <f>VLOOKUP(C281,Products!A:E,4,0)</f>
        <v>150</v>
      </c>
      <c r="J281" t="str">
        <f>_xlfn.XLOOKUP(B281,Customers!A:A,Customers!B:B)</f>
        <v>Junaid Alam</v>
      </c>
      <c r="K281" t="str">
        <f>_xlfn.XLOOKUP(B281,Customers!A:A,Customers!C:C)</f>
        <v>Lahore</v>
      </c>
      <c r="L281" t="str">
        <f>_xlfn.XLOOKUP(B281,Customers!A:A,Customers!D:D)</f>
        <v>Bronze</v>
      </c>
      <c r="M281">
        <f t="shared" si="4"/>
        <v>300</v>
      </c>
      <c r="N281" t="str">
        <f>_xlfn.XLOOKUP(C281,Products!A:A,Products!E:E)</f>
        <v>Lahore</v>
      </c>
    </row>
    <row r="282" spans="1:14" x14ac:dyDescent="0.25">
      <c r="A282" t="s">
        <v>353</v>
      </c>
      <c r="B282" t="s">
        <v>85</v>
      </c>
      <c r="C282" t="s">
        <v>15</v>
      </c>
      <c r="D282">
        <v>1</v>
      </c>
      <c r="E282" s="1">
        <v>46253</v>
      </c>
      <c r="F282" t="s">
        <v>9</v>
      </c>
      <c r="G282" t="str">
        <f>VLOOKUP(C282,Products!A:E,2,0)</f>
        <v>Phone Case</v>
      </c>
      <c r="H282" t="str">
        <f>VLOOKUP(C282,Products!A:E,3,0)</f>
        <v>Electronics</v>
      </c>
      <c r="I282">
        <f>VLOOKUP(C282,Products!A:E,4,0)</f>
        <v>12</v>
      </c>
      <c r="J282" t="str">
        <f>_xlfn.XLOOKUP(B282,Customers!A:A,Customers!B:B)</f>
        <v>Sobia Tariq</v>
      </c>
      <c r="K282" t="str">
        <f>_xlfn.XLOOKUP(B282,Customers!A:A,Customers!C:C)</f>
        <v>Lahore</v>
      </c>
      <c r="L282" t="str">
        <f>_xlfn.XLOOKUP(B282,Customers!A:A,Customers!D:D)</f>
        <v>Silver</v>
      </c>
      <c r="M282">
        <f t="shared" si="4"/>
        <v>12</v>
      </c>
      <c r="N282" t="str">
        <f>_xlfn.XLOOKUP(C282,Products!A:A,Products!E:E)</f>
        <v>Islamabad</v>
      </c>
    </row>
    <row r="283" spans="1:14" x14ac:dyDescent="0.25">
      <c r="A283" t="s">
        <v>354</v>
      </c>
      <c r="B283" t="s">
        <v>87</v>
      </c>
      <c r="C283" t="s">
        <v>32</v>
      </c>
      <c r="D283">
        <v>4</v>
      </c>
      <c r="E283" s="1">
        <v>46253</v>
      </c>
      <c r="F283" t="s">
        <v>9</v>
      </c>
      <c r="G283" t="str">
        <f>VLOOKUP(C283,Products!A:E,2,0)</f>
        <v>Coffee Maker</v>
      </c>
      <c r="H283" t="str">
        <f>VLOOKUP(C283,Products!A:E,3,0)</f>
        <v>Home &amp; Kitchen</v>
      </c>
      <c r="I283">
        <f>VLOOKUP(C283,Products!A:E,4,0)</f>
        <v>110</v>
      </c>
      <c r="J283" t="str">
        <f>_xlfn.XLOOKUP(B283,Customers!A:A,Customers!B:B)</f>
        <v>Saad Butt</v>
      </c>
      <c r="K283" t="str">
        <f>_xlfn.XLOOKUP(B283,Customers!A:A,Customers!C:C)</f>
        <v>Islamabad</v>
      </c>
      <c r="L283" t="str">
        <f>_xlfn.XLOOKUP(B283,Customers!A:A,Customers!D:D)</f>
        <v>Gold</v>
      </c>
      <c r="M283">
        <f t="shared" si="4"/>
        <v>440</v>
      </c>
      <c r="N283" t="str">
        <f>_xlfn.XLOOKUP(C283,Products!A:A,Products!E:E)</f>
        <v>Karachi</v>
      </c>
    </row>
    <row r="284" spans="1:14" x14ac:dyDescent="0.25">
      <c r="A284" t="s">
        <v>355</v>
      </c>
      <c r="B284" t="s">
        <v>89</v>
      </c>
      <c r="C284" t="s">
        <v>35</v>
      </c>
      <c r="D284">
        <v>2</v>
      </c>
      <c r="E284" s="1">
        <v>46254</v>
      </c>
      <c r="F284" t="s">
        <v>9</v>
      </c>
      <c r="G284" t="str">
        <f>VLOOKUP(C284,Products!A:E,2,0)</f>
        <v>Face Serum</v>
      </c>
      <c r="H284" t="str">
        <f>VLOOKUP(C284,Products!A:E,3,0)</f>
        <v>Beauty</v>
      </c>
      <c r="I284">
        <f>VLOOKUP(C284,Products!A:E,4,0)</f>
        <v>30</v>
      </c>
      <c r="J284" t="str">
        <f>_xlfn.XLOOKUP(B284,Customers!A:A,Customers!B:B)</f>
        <v>Mehwish Tariq</v>
      </c>
      <c r="K284" t="str">
        <f>_xlfn.XLOOKUP(B284,Customers!A:A,Customers!C:C)</f>
        <v>Faisalabad</v>
      </c>
      <c r="L284" t="str">
        <f>_xlfn.XLOOKUP(B284,Customers!A:A,Customers!D:D)</f>
        <v>Silver</v>
      </c>
      <c r="M284">
        <f t="shared" si="4"/>
        <v>60</v>
      </c>
      <c r="N284" t="str">
        <f>_xlfn.XLOOKUP(C284,Products!A:A,Products!E:E)</f>
        <v>Lahore</v>
      </c>
    </row>
    <row r="285" spans="1:14" x14ac:dyDescent="0.25">
      <c r="A285" t="s">
        <v>356</v>
      </c>
      <c r="B285" t="s">
        <v>91</v>
      </c>
      <c r="C285" t="s">
        <v>38</v>
      </c>
      <c r="D285">
        <v>1</v>
      </c>
      <c r="E285" s="1">
        <v>46254</v>
      </c>
      <c r="F285" t="s">
        <v>19</v>
      </c>
      <c r="G285" t="str">
        <f>VLOOKUP(C285,Products!A:E,2,0)</f>
        <v>Rice Cooker</v>
      </c>
      <c r="H285" t="str">
        <f>VLOOKUP(C285,Products!A:E,3,0)</f>
        <v>Home &amp; Kitchen</v>
      </c>
      <c r="I285">
        <f>VLOOKUP(C285,Products!A:E,4,0)</f>
        <v>95</v>
      </c>
      <c r="J285" t="str">
        <f>_xlfn.XLOOKUP(B285,Customers!A:A,Customers!B:B)</f>
        <v>Fatima Malik</v>
      </c>
      <c r="K285" t="str">
        <f>_xlfn.XLOOKUP(B285,Customers!A:A,Customers!C:C)</f>
        <v>Karachi</v>
      </c>
      <c r="L285" t="str">
        <f>_xlfn.XLOOKUP(B285,Customers!A:A,Customers!D:D)</f>
        <v>Gold</v>
      </c>
      <c r="M285">
        <f t="shared" si="4"/>
        <v>95</v>
      </c>
      <c r="N285" t="str">
        <f>_xlfn.XLOOKUP(C285,Products!A:A,Products!E:E)</f>
        <v>Rawalpindi</v>
      </c>
    </row>
    <row r="286" spans="1:14" x14ac:dyDescent="0.25">
      <c r="A286" t="s">
        <v>357</v>
      </c>
      <c r="B286" t="s">
        <v>93</v>
      </c>
      <c r="C286" t="s">
        <v>44</v>
      </c>
      <c r="D286">
        <v>3</v>
      </c>
      <c r="E286" s="1">
        <v>46255</v>
      </c>
      <c r="F286" t="s">
        <v>9</v>
      </c>
      <c r="G286" t="str">
        <f>VLOOKUP(C286,Products!A:E,2,0)</f>
        <v>Moisturizer</v>
      </c>
      <c r="H286" t="str">
        <f>VLOOKUP(C286,Products!A:E,3,0)</f>
        <v>Beauty</v>
      </c>
      <c r="I286">
        <f>VLOOKUP(C286,Products!A:E,4,0)</f>
        <v>25</v>
      </c>
      <c r="J286" t="str">
        <f>_xlfn.XLOOKUP(B286,Customers!A:A,Customers!B:B)</f>
        <v>Asad Mahmood</v>
      </c>
      <c r="K286" t="str">
        <f>_xlfn.XLOOKUP(B286,Customers!A:A,Customers!C:C)</f>
        <v>Karachi</v>
      </c>
      <c r="L286" t="str">
        <f>_xlfn.XLOOKUP(B286,Customers!A:A,Customers!D:D)</f>
        <v>Silver</v>
      </c>
      <c r="M286">
        <f t="shared" si="4"/>
        <v>75</v>
      </c>
      <c r="N286" t="str">
        <f>_xlfn.XLOOKUP(C286,Products!A:A,Products!E:E)</f>
        <v>Lahore</v>
      </c>
    </row>
    <row r="287" spans="1:14" x14ac:dyDescent="0.25">
      <c r="A287" t="s">
        <v>358</v>
      </c>
      <c r="B287" t="s">
        <v>95</v>
      </c>
      <c r="C287" t="s">
        <v>28</v>
      </c>
      <c r="D287">
        <v>2</v>
      </c>
      <c r="E287" s="1">
        <v>46255</v>
      </c>
      <c r="F287" t="s">
        <v>9</v>
      </c>
      <c r="G287" t="str">
        <f>VLOOKUP(C287,Products!A:E,2,0)</f>
        <v>Wireless Earbuds</v>
      </c>
      <c r="H287" t="str">
        <f>VLOOKUP(C287,Products!A:E,3,0)</f>
        <v>Electronics</v>
      </c>
      <c r="I287">
        <f>VLOOKUP(C287,Products!A:E,4,0)</f>
        <v>45</v>
      </c>
      <c r="J287" t="str">
        <f>_xlfn.XLOOKUP(B287,Customers!A:A,Customers!B:B)</f>
        <v>Taha Qureshi</v>
      </c>
      <c r="K287" t="str">
        <f>_xlfn.XLOOKUP(B287,Customers!A:A,Customers!C:C)</f>
        <v>Lahore</v>
      </c>
      <c r="L287" t="str">
        <f>_xlfn.XLOOKUP(B287,Customers!A:A,Customers!D:D)</f>
        <v>Gold</v>
      </c>
      <c r="M287">
        <f t="shared" si="4"/>
        <v>90</v>
      </c>
      <c r="N287" t="str">
        <f>_xlfn.XLOOKUP(C287,Products!A:A,Products!E:E)</f>
        <v>Lahore</v>
      </c>
    </row>
    <row r="288" spans="1:14" x14ac:dyDescent="0.25">
      <c r="A288" t="s">
        <v>359</v>
      </c>
      <c r="B288" t="s">
        <v>97</v>
      </c>
      <c r="C288" t="s">
        <v>47</v>
      </c>
      <c r="D288">
        <v>1</v>
      </c>
      <c r="E288" s="1">
        <v>46256</v>
      </c>
      <c r="F288" t="s">
        <v>9</v>
      </c>
      <c r="G288" t="str">
        <f>VLOOKUP(C288,Products!A:E,2,0)</f>
        <v>Blender</v>
      </c>
      <c r="H288" t="str">
        <f>VLOOKUP(C288,Products!A:E,3,0)</f>
        <v>Home &amp; Kitchen</v>
      </c>
      <c r="I288">
        <f>VLOOKUP(C288,Products!A:E,4,0)</f>
        <v>120</v>
      </c>
      <c r="J288" t="str">
        <f>_xlfn.XLOOKUP(B288,Customers!A:A,Customers!B:B)</f>
        <v>Nadia Qureshi</v>
      </c>
      <c r="K288" t="str">
        <f>_xlfn.XLOOKUP(B288,Customers!A:A,Customers!C:C)</f>
        <v>Lahore</v>
      </c>
      <c r="L288" t="str">
        <f>_xlfn.XLOOKUP(B288,Customers!A:A,Customers!D:D)</f>
        <v>Gold</v>
      </c>
      <c r="M288">
        <f t="shared" si="4"/>
        <v>120</v>
      </c>
      <c r="N288" t="str">
        <f>_xlfn.XLOOKUP(C288,Products!A:A,Products!E:E)</f>
        <v>Islamabad</v>
      </c>
    </row>
    <row r="289" spans="1:14" x14ac:dyDescent="0.25">
      <c r="A289" t="s">
        <v>360</v>
      </c>
      <c r="B289" t="s">
        <v>99</v>
      </c>
      <c r="C289" t="s">
        <v>8</v>
      </c>
      <c r="D289">
        <v>4</v>
      </c>
      <c r="E289" s="1">
        <v>46256</v>
      </c>
      <c r="F289" t="s">
        <v>9</v>
      </c>
      <c r="G289" t="str">
        <f>VLOOKUP(C289,Products!A:E,2,0)</f>
        <v>Laptop Stand</v>
      </c>
      <c r="H289" t="str">
        <f>VLOOKUP(C289,Products!A:E,3,0)</f>
        <v>Electronics</v>
      </c>
      <c r="I289">
        <f>VLOOKUP(C289,Products!A:E,4,0)</f>
        <v>40</v>
      </c>
      <c r="J289" t="str">
        <f>_xlfn.XLOOKUP(B289,Customers!A:A,Customers!B:B)</f>
        <v>Maham Rizvi</v>
      </c>
      <c r="K289" t="str">
        <f>_xlfn.XLOOKUP(B289,Customers!A:A,Customers!C:C)</f>
        <v>Lahore</v>
      </c>
      <c r="L289" t="str">
        <f>_xlfn.XLOOKUP(B289,Customers!A:A,Customers!D:D)</f>
        <v>Silver</v>
      </c>
      <c r="M289">
        <f t="shared" si="4"/>
        <v>160</v>
      </c>
      <c r="N289" t="str">
        <f>_xlfn.XLOOKUP(C289,Products!A:A,Products!E:E)</f>
        <v>Rawalpindi</v>
      </c>
    </row>
    <row r="290" spans="1:14" x14ac:dyDescent="0.25">
      <c r="A290" t="s">
        <v>361</v>
      </c>
      <c r="B290" t="s">
        <v>101</v>
      </c>
      <c r="C290" t="s">
        <v>53</v>
      </c>
      <c r="D290">
        <v>2</v>
      </c>
      <c r="E290" s="1">
        <v>46257</v>
      </c>
      <c r="F290" t="s">
        <v>9</v>
      </c>
      <c r="G290" t="str">
        <f>VLOOKUP(C290,Products!A:E,2,0)</f>
        <v>Night Cream</v>
      </c>
      <c r="H290" t="str">
        <f>VLOOKUP(C290,Products!A:E,3,0)</f>
        <v>Beauty</v>
      </c>
      <c r="I290">
        <f>VLOOKUP(C290,Products!A:E,4,0)</f>
        <v>40</v>
      </c>
      <c r="J290" t="str">
        <f>_xlfn.XLOOKUP(B290,Customers!A:A,Customers!B:B)</f>
        <v>Zubair Hassan</v>
      </c>
      <c r="K290" t="str">
        <f>_xlfn.XLOOKUP(B290,Customers!A:A,Customers!C:C)</f>
        <v>Rawalpindi</v>
      </c>
      <c r="L290" t="str">
        <f>_xlfn.XLOOKUP(B290,Customers!A:A,Customers!D:D)</f>
        <v>Gold</v>
      </c>
      <c r="M290">
        <f t="shared" si="4"/>
        <v>80</v>
      </c>
      <c r="N290" t="str">
        <f>_xlfn.XLOOKUP(C290,Products!A:A,Products!E:E)</f>
        <v>Faisalabad</v>
      </c>
    </row>
    <row r="291" spans="1:14" x14ac:dyDescent="0.25">
      <c r="A291" t="s">
        <v>362</v>
      </c>
      <c r="B291" t="s">
        <v>103</v>
      </c>
      <c r="C291" t="s">
        <v>25</v>
      </c>
      <c r="D291">
        <v>1</v>
      </c>
      <c r="E291" s="1">
        <v>46257</v>
      </c>
      <c r="F291" t="s">
        <v>9</v>
      </c>
      <c r="G291" t="str">
        <f>VLOOKUP(C291,Products!A:E,2,0)</f>
        <v>Sunscreen</v>
      </c>
      <c r="H291" t="str">
        <f>VLOOKUP(C291,Products!A:E,3,0)</f>
        <v>Beauty</v>
      </c>
      <c r="I291">
        <f>VLOOKUP(C291,Products!A:E,4,0)</f>
        <v>15</v>
      </c>
      <c r="J291" t="str">
        <f>_xlfn.XLOOKUP(B291,Customers!A:A,Customers!B:B)</f>
        <v>Sundas Ali</v>
      </c>
      <c r="K291" t="str">
        <f>_xlfn.XLOOKUP(B291,Customers!A:A,Customers!C:C)</f>
        <v>Lahore</v>
      </c>
      <c r="L291" t="str">
        <f>_xlfn.XLOOKUP(B291,Customers!A:A,Customers!D:D)</f>
        <v>Gold</v>
      </c>
      <c r="M291">
        <f t="shared" si="4"/>
        <v>15</v>
      </c>
      <c r="N291" t="str">
        <f>_xlfn.XLOOKUP(C291,Products!A:A,Products!E:E)</f>
        <v>Karachi</v>
      </c>
    </row>
    <row r="292" spans="1:14" x14ac:dyDescent="0.25">
      <c r="A292" t="s">
        <v>363</v>
      </c>
      <c r="B292" t="s">
        <v>14</v>
      </c>
      <c r="C292" t="s">
        <v>50</v>
      </c>
      <c r="D292">
        <v>3</v>
      </c>
      <c r="E292" s="1">
        <v>46258</v>
      </c>
      <c r="F292" t="s">
        <v>9</v>
      </c>
      <c r="G292" t="str">
        <f>VLOOKUP(C292,Products!A:E,2,0)</f>
        <v>Bluetooth Speaker</v>
      </c>
      <c r="H292" t="str">
        <f>VLOOKUP(C292,Products!A:E,3,0)</f>
        <v>Electronics</v>
      </c>
      <c r="I292">
        <f>VLOOKUP(C292,Products!A:E,4,0)</f>
        <v>95</v>
      </c>
      <c r="J292" t="str">
        <f>_xlfn.XLOOKUP(B292,Customers!A:A,Customers!B:B)</f>
        <v>Omar Tariq</v>
      </c>
      <c r="K292" t="str">
        <f>_xlfn.XLOOKUP(B292,Customers!A:A,Customers!C:C)</f>
        <v>Karachi</v>
      </c>
      <c r="L292" t="str">
        <f>_xlfn.XLOOKUP(B292,Customers!A:A,Customers!D:D)</f>
        <v>Gold</v>
      </c>
      <c r="M292">
        <f t="shared" si="4"/>
        <v>285</v>
      </c>
      <c r="N292" t="str">
        <f>_xlfn.XLOOKUP(C292,Products!A:A,Products!E:E)</f>
        <v>Karachi</v>
      </c>
    </row>
    <row r="293" spans="1:14" x14ac:dyDescent="0.25">
      <c r="A293" t="s">
        <v>364</v>
      </c>
      <c r="B293" t="s">
        <v>106</v>
      </c>
      <c r="C293" t="s">
        <v>18</v>
      </c>
      <c r="D293">
        <v>2</v>
      </c>
      <c r="E293" s="1">
        <v>46258</v>
      </c>
      <c r="F293" t="s">
        <v>9</v>
      </c>
      <c r="G293" t="str">
        <f>VLOOKUP(C293,Products!A:E,2,0)</f>
        <v>Hair Serum</v>
      </c>
      <c r="H293" t="str">
        <f>VLOOKUP(C293,Products!A:E,3,0)</f>
        <v>Beauty</v>
      </c>
      <c r="I293">
        <f>VLOOKUP(C293,Products!A:E,4,0)</f>
        <v>35</v>
      </c>
      <c r="J293" t="str">
        <f>_xlfn.XLOOKUP(B293,Customers!A:A,Customers!B:B)</f>
        <v>Ahmed Raza</v>
      </c>
      <c r="K293" t="str">
        <f>_xlfn.XLOOKUP(B293,Customers!A:A,Customers!C:C)</f>
        <v>Karachi</v>
      </c>
      <c r="L293" t="str">
        <f>_xlfn.XLOOKUP(B293,Customers!A:A,Customers!D:D)</f>
        <v>Bronze</v>
      </c>
      <c r="M293">
        <f t="shared" si="4"/>
        <v>70</v>
      </c>
      <c r="N293" t="str">
        <f>_xlfn.XLOOKUP(C293,Products!A:A,Products!E:E)</f>
        <v>Islamabad</v>
      </c>
    </row>
    <row r="294" spans="1:14" x14ac:dyDescent="0.25">
      <c r="A294" t="s">
        <v>365</v>
      </c>
      <c r="B294" t="s">
        <v>108</v>
      </c>
      <c r="C294" t="s">
        <v>12</v>
      </c>
      <c r="D294">
        <v>1</v>
      </c>
      <c r="E294" s="1">
        <v>46259</v>
      </c>
      <c r="F294" t="s">
        <v>9</v>
      </c>
      <c r="G294" t="str">
        <f>VLOOKUP(C294,Products!A:E,2,0)</f>
        <v>Air Fryer</v>
      </c>
      <c r="H294" t="str">
        <f>VLOOKUP(C294,Products!A:E,3,0)</f>
        <v>Home &amp; Kitchen</v>
      </c>
      <c r="I294">
        <f>VLOOKUP(C294,Products!A:E,4,0)</f>
        <v>150</v>
      </c>
      <c r="J294" t="str">
        <f>_xlfn.XLOOKUP(B294,Customers!A:A,Customers!B:B)</f>
        <v>Rida Fatima</v>
      </c>
      <c r="K294" t="str">
        <f>_xlfn.XLOOKUP(B294,Customers!A:A,Customers!C:C)</f>
        <v>Rawalpindi</v>
      </c>
      <c r="L294" t="str">
        <f>_xlfn.XLOOKUP(B294,Customers!A:A,Customers!D:D)</f>
        <v>Silver</v>
      </c>
      <c r="M294">
        <f t="shared" si="4"/>
        <v>150</v>
      </c>
      <c r="N294" t="str">
        <f>_xlfn.XLOOKUP(C294,Products!A:A,Products!E:E)</f>
        <v>Lahore</v>
      </c>
    </row>
    <row r="295" spans="1:14" x14ac:dyDescent="0.25">
      <c r="A295" t="s">
        <v>366</v>
      </c>
      <c r="B295" t="s">
        <v>110</v>
      </c>
      <c r="C295" t="s">
        <v>15</v>
      </c>
      <c r="D295">
        <v>4</v>
      </c>
      <c r="E295" s="1">
        <v>46259</v>
      </c>
      <c r="F295" t="s">
        <v>9</v>
      </c>
      <c r="G295" t="str">
        <f>VLOOKUP(C295,Products!A:E,2,0)</f>
        <v>Phone Case</v>
      </c>
      <c r="H295" t="str">
        <f>VLOOKUP(C295,Products!A:E,3,0)</f>
        <v>Electronics</v>
      </c>
      <c r="I295">
        <f>VLOOKUP(C295,Products!A:E,4,0)</f>
        <v>12</v>
      </c>
      <c r="J295" t="str">
        <f>_xlfn.XLOOKUP(B295,Customers!A:A,Customers!B:B)</f>
        <v>Usman Sheikh</v>
      </c>
      <c r="K295" t="str">
        <f>_xlfn.XLOOKUP(B295,Customers!A:A,Customers!C:C)</f>
        <v>Rawalpindi</v>
      </c>
      <c r="L295" t="str">
        <f>_xlfn.XLOOKUP(B295,Customers!A:A,Customers!D:D)</f>
        <v>Silver</v>
      </c>
      <c r="M295">
        <f t="shared" si="4"/>
        <v>48</v>
      </c>
      <c r="N295" t="str">
        <f>_xlfn.XLOOKUP(C295,Products!A:A,Products!E:E)</f>
        <v>Islamabad</v>
      </c>
    </row>
    <row r="296" spans="1:14" x14ac:dyDescent="0.25">
      <c r="A296" t="s">
        <v>367</v>
      </c>
      <c r="B296" t="s">
        <v>112</v>
      </c>
      <c r="C296" t="s">
        <v>32</v>
      </c>
      <c r="D296">
        <v>2</v>
      </c>
      <c r="E296" s="1">
        <v>46260</v>
      </c>
      <c r="F296" t="s">
        <v>9</v>
      </c>
      <c r="G296" t="str">
        <f>VLOOKUP(C296,Products!A:E,2,0)</f>
        <v>Coffee Maker</v>
      </c>
      <c r="H296" t="str">
        <f>VLOOKUP(C296,Products!A:E,3,0)</f>
        <v>Home &amp; Kitchen</v>
      </c>
      <c r="I296">
        <f>VLOOKUP(C296,Products!A:E,4,0)</f>
        <v>110</v>
      </c>
      <c r="J296" t="str">
        <f>_xlfn.XLOOKUP(B296,Customers!A:A,Customers!B:B)</f>
        <v>Hira Baig</v>
      </c>
      <c r="K296" t="str">
        <f>_xlfn.XLOOKUP(B296,Customers!A:A,Customers!C:C)</f>
        <v>Rawalpindi</v>
      </c>
      <c r="L296" t="str">
        <f>_xlfn.XLOOKUP(B296,Customers!A:A,Customers!D:D)</f>
        <v>Bronze</v>
      </c>
      <c r="M296">
        <f t="shared" si="4"/>
        <v>220</v>
      </c>
      <c r="N296" t="str">
        <f>_xlfn.XLOOKUP(C296,Products!A:A,Products!E:E)</f>
        <v>Karachi</v>
      </c>
    </row>
    <row r="297" spans="1:14" x14ac:dyDescent="0.25">
      <c r="A297" t="s">
        <v>368</v>
      </c>
      <c r="B297" t="s">
        <v>114</v>
      </c>
      <c r="C297" t="s">
        <v>35</v>
      </c>
      <c r="D297">
        <v>1</v>
      </c>
      <c r="E297" s="1">
        <v>46260</v>
      </c>
      <c r="F297" t="s">
        <v>9</v>
      </c>
      <c r="G297" t="str">
        <f>VLOOKUP(C297,Products!A:E,2,0)</f>
        <v>Face Serum</v>
      </c>
      <c r="H297" t="str">
        <f>VLOOKUP(C297,Products!A:E,3,0)</f>
        <v>Beauty</v>
      </c>
      <c r="I297">
        <f>VLOOKUP(C297,Products!A:E,4,0)</f>
        <v>30</v>
      </c>
      <c r="J297" t="str">
        <f>_xlfn.XLOOKUP(B297,Customers!A:A,Customers!B:B)</f>
        <v>Hassan Butt</v>
      </c>
      <c r="K297" t="str">
        <f>_xlfn.XLOOKUP(B297,Customers!A:A,Customers!C:C)</f>
        <v>Lahore</v>
      </c>
      <c r="L297" t="str">
        <f>_xlfn.XLOOKUP(B297,Customers!A:A,Customers!D:D)</f>
        <v>Gold</v>
      </c>
      <c r="M297">
        <f t="shared" si="4"/>
        <v>30</v>
      </c>
      <c r="N297" t="str">
        <f>_xlfn.XLOOKUP(C297,Products!A:A,Products!E:E)</f>
        <v>Lahore</v>
      </c>
    </row>
    <row r="298" spans="1:14" x14ac:dyDescent="0.25">
      <c r="A298" t="s">
        <v>369</v>
      </c>
      <c r="B298" t="s">
        <v>116</v>
      </c>
      <c r="C298" t="s">
        <v>38</v>
      </c>
      <c r="D298">
        <v>3</v>
      </c>
      <c r="E298" s="1">
        <v>46261</v>
      </c>
      <c r="F298" t="s">
        <v>9</v>
      </c>
      <c r="G298" t="str">
        <f>VLOOKUP(C298,Products!A:E,2,0)</f>
        <v>Rice Cooker</v>
      </c>
      <c r="H298" t="str">
        <f>VLOOKUP(C298,Products!A:E,3,0)</f>
        <v>Home &amp; Kitchen</v>
      </c>
      <c r="I298">
        <f>VLOOKUP(C298,Products!A:E,4,0)</f>
        <v>95</v>
      </c>
      <c r="J298" t="str">
        <f>_xlfn.XLOOKUP(B298,Customers!A:A,Customers!B:B)</f>
        <v>Danish Khan</v>
      </c>
      <c r="K298" t="str">
        <f>_xlfn.XLOOKUP(B298,Customers!A:A,Customers!C:C)</f>
        <v>Faisalabad</v>
      </c>
      <c r="L298" t="str">
        <f>_xlfn.XLOOKUP(B298,Customers!A:A,Customers!D:D)</f>
        <v>Silver</v>
      </c>
      <c r="M298">
        <f t="shared" si="4"/>
        <v>285</v>
      </c>
      <c r="N298" t="str">
        <f>_xlfn.XLOOKUP(C298,Products!A:A,Products!E:E)</f>
        <v>Rawalpindi</v>
      </c>
    </row>
    <row r="299" spans="1:14" x14ac:dyDescent="0.25">
      <c r="A299" t="s">
        <v>370</v>
      </c>
      <c r="B299" t="s">
        <v>118</v>
      </c>
      <c r="C299" t="s">
        <v>44</v>
      </c>
      <c r="D299">
        <v>2</v>
      </c>
      <c r="E299" s="1">
        <v>46261</v>
      </c>
      <c r="F299" t="s">
        <v>9</v>
      </c>
      <c r="G299" t="str">
        <f>VLOOKUP(C299,Products!A:E,2,0)</f>
        <v>Moisturizer</v>
      </c>
      <c r="H299" t="str">
        <f>VLOOKUP(C299,Products!A:E,3,0)</f>
        <v>Beauty</v>
      </c>
      <c r="I299">
        <f>VLOOKUP(C299,Products!A:E,4,0)</f>
        <v>25</v>
      </c>
      <c r="J299" t="str">
        <f>_xlfn.XLOOKUP(B299,Customers!A:A,Customers!B:B)</f>
        <v>Yusuf Khan</v>
      </c>
      <c r="K299" t="str">
        <f>_xlfn.XLOOKUP(B299,Customers!A:A,Customers!C:C)</f>
        <v>Islamabad</v>
      </c>
      <c r="L299" t="str">
        <f>_xlfn.XLOOKUP(B299,Customers!A:A,Customers!D:D)</f>
        <v>Silver</v>
      </c>
      <c r="M299">
        <f t="shared" si="4"/>
        <v>50</v>
      </c>
      <c r="N299" t="str">
        <f>_xlfn.XLOOKUP(C299,Products!A:A,Products!E:E)</f>
        <v>Lahore</v>
      </c>
    </row>
    <row r="300" spans="1:14" x14ac:dyDescent="0.25">
      <c r="A300" t="s">
        <v>371</v>
      </c>
      <c r="B300" t="s">
        <v>120</v>
      </c>
      <c r="C300" t="s">
        <v>28</v>
      </c>
      <c r="D300">
        <v>1</v>
      </c>
      <c r="E300" s="1">
        <v>46262</v>
      </c>
      <c r="F300" t="s">
        <v>9</v>
      </c>
      <c r="G300" t="str">
        <f>VLOOKUP(C300,Products!A:E,2,0)</f>
        <v>Wireless Earbuds</v>
      </c>
      <c r="H300" t="str">
        <f>VLOOKUP(C300,Products!A:E,3,0)</f>
        <v>Electronics</v>
      </c>
      <c r="I300">
        <f>VLOOKUP(C300,Products!A:E,4,0)</f>
        <v>45</v>
      </c>
      <c r="J300" t="str">
        <f>_xlfn.XLOOKUP(B300,Customers!A:A,Customers!B:B)</f>
        <v>Lubna Shah</v>
      </c>
      <c r="K300" t="str">
        <f>_xlfn.XLOOKUP(B300,Customers!A:A,Customers!C:C)</f>
        <v>Karachi</v>
      </c>
      <c r="L300" t="str">
        <f>_xlfn.XLOOKUP(B300,Customers!A:A,Customers!D:D)</f>
        <v>Silver</v>
      </c>
      <c r="M300">
        <f t="shared" si="4"/>
        <v>45</v>
      </c>
      <c r="N300" t="str">
        <f>_xlfn.XLOOKUP(C300,Products!A:A,Products!E:E)</f>
        <v>Lahore</v>
      </c>
    </row>
    <row r="301" spans="1:14" x14ac:dyDescent="0.25">
      <c r="A301" t="s">
        <v>372</v>
      </c>
      <c r="B301" t="s">
        <v>122</v>
      </c>
      <c r="C301" t="s">
        <v>47</v>
      </c>
      <c r="D301">
        <v>4</v>
      </c>
      <c r="E301" s="1">
        <v>46262</v>
      </c>
      <c r="F301" t="s">
        <v>9</v>
      </c>
      <c r="G301" t="str">
        <f>VLOOKUP(C301,Products!A:E,2,0)</f>
        <v>Blender</v>
      </c>
      <c r="H301" t="str">
        <f>VLOOKUP(C301,Products!A:E,3,0)</f>
        <v>Home &amp; Kitchen</v>
      </c>
      <c r="I301">
        <f>VLOOKUP(C301,Products!A:E,4,0)</f>
        <v>120</v>
      </c>
      <c r="J301" t="str">
        <f>_xlfn.XLOOKUP(B301,Customers!A:A,Customers!B:B)</f>
        <v>Zeeshan Malik</v>
      </c>
      <c r="K301" t="str">
        <f>_xlfn.XLOOKUP(B301,Customers!A:A,Customers!C:C)</f>
        <v>Karachi</v>
      </c>
      <c r="L301" t="str">
        <f>_xlfn.XLOOKUP(B301,Customers!A:A,Customers!D:D)</f>
        <v>Gold</v>
      </c>
      <c r="M301">
        <f t="shared" si="4"/>
        <v>480</v>
      </c>
      <c r="N301" t="str">
        <f>_xlfn.XLOOKUP(C301,Products!A:A,Products!E:E)</f>
        <v>Islamabad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85E4C-518D-44F2-92BF-4A0E58E198A4}">
  <dimension ref="A1:E16"/>
  <sheetViews>
    <sheetView workbookViewId="0">
      <selection activeCell="B6" sqref="B6"/>
    </sheetView>
  </sheetViews>
  <sheetFormatPr defaultRowHeight="15" x14ac:dyDescent="0.25"/>
  <cols>
    <col min="1" max="1" width="10.7109375" bestFit="1" customWidth="1"/>
    <col min="2" max="2" width="17.7109375" bestFit="1" customWidth="1"/>
    <col min="3" max="3" width="15.42578125" bestFit="1" customWidth="1"/>
    <col min="4" max="4" width="10.140625" bestFit="1" customWidth="1"/>
    <col min="5" max="5" width="12.85546875" bestFit="1" customWidth="1"/>
  </cols>
  <sheetData>
    <row r="1" spans="1:5" x14ac:dyDescent="0.25">
      <c r="A1" t="s">
        <v>2</v>
      </c>
      <c r="B1" t="s">
        <v>435</v>
      </c>
      <c r="C1" t="s">
        <v>436</v>
      </c>
      <c r="D1" t="s">
        <v>437</v>
      </c>
      <c r="E1" t="s">
        <v>438</v>
      </c>
    </row>
    <row r="2" spans="1:5" x14ac:dyDescent="0.25">
      <c r="A2" t="s">
        <v>41</v>
      </c>
      <c r="B2" t="s">
        <v>439</v>
      </c>
      <c r="C2" t="s">
        <v>440</v>
      </c>
      <c r="D2">
        <v>200</v>
      </c>
      <c r="E2" t="s">
        <v>377</v>
      </c>
    </row>
    <row r="3" spans="1:5" x14ac:dyDescent="0.25">
      <c r="A3" t="s">
        <v>28</v>
      </c>
      <c r="B3" t="s">
        <v>441</v>
      </c>
      <c r="C3" t="s">
        <v>440</v>
      </c>
      <c r="D3">
        <v>45</v>
      </c>
      <c r="E3" t="s">
        <v>380</v>
      </c>
    </row>
    <row r="4" spans="1:5" x14ac:dyDescent="0.25">
      <c r="A4" t="s">
        <v>15</v>
      </c>
      <c r="B4" t="s">
        <v>442</v>
      </c>
      <c r="C4" t="s">
        <v>440</v>
      </c>
      <c r="D4">
        <v>12</v>
      </c>
      <c r="E4" t="s">
        <v>383</v>
      </c>
    </row>
    <row r="5" spans="1:5" x14ac:dyDescent="0.25">
      <c r="A5" t="s">
        <v>50</v>
      </c>
      <c r="B5" t="s">
        <v>443</v>
      </c>
      <c r="C5" t="s">
        <v>440</v>
      </c>
      <c r="D5">
        <v>95</v>
      </c>
      <c r="E5" t="s">
        <v>377</v>
      </c>
    </row>
    <row r="6" spans="1:5" x14ac:dyDescent="0.25">
      <c r="A6" t="s">
        <v>8</v>
      </c>
      <c r="B6" t="s">
        <v>444</v>
      </c>
      <c r="C6" t="s">
        <v>440</v>
      </c>
      <c r="D6">
        <v>40</v>
      </c>
      <c r="E6" t="s">
        <v>387</v>
      </c>
    </row>
    <row r="7" spans="1:5" x14ac:dyDescent="0.25">
      <c r="A7" t="s">
        <v>35</v>
      </c>
      <c r="B7" t="s">
        <v>445</v>
      </c>
      <c r="C7" t="s">
        <v>446</v>
      </c>
      <c r="D7">
        <v>30</v>
      </c>
      <c r="E7" t="s">
        <v>380</v>
      </c>
    </row>
    <row r="8" spans="1:5" x14ac:dyDescent="0.25">
      <c r="A8" t="s">
        <v>25</v>
      </c>
      <c r="B8" t="s">
        <v>447</v>
      </c>
      <c r="C8" t="s">
        <v>446</v>
      </c>
      <c r="D8">
        <v>15</v>
      </c>
      <c r="E8" t="s">
        <v>377</v>
      </c>
    </row>
    <row r="9" spans="1:5" x14ac:dyDescent="0.25">
      <c r="A9" t="s">
        <v>18</v>
      </c>
      <c r="B9" t="s">
        <v>448</v>
      </c>
      <c r="C9" t="s">
        <v>446</v>
      </c>
      <c r="D9">
        <v>35</v>
      </c>
      <c r="E9" t="s">
        <v>383</v>
      </c>
    </row>
    <row r="10" spans="1:5" x14ac:dyDescent="0.25">
      <c r="A10" t="s">
        <v>44</v>
      </c>
      <c r="B10" t="s">
        <v>449</v>
      </c>
      <c r="C10" t="s">
        <v>446</v>
      </c>
      <c r="D10">
        <v>25</v>
      </c>
      <c r="E10" t="s">
        <v>380</v>
      </c>
    </row>
    <row r="11" spans="1:5" x14ac:dyDescent="0.25">
      <c r="A11" t="s">
        <v>53</v>
      </c>
      <c r="B11" t="s">
        <v>450</v>
      </c>
      <c r="C11" t="s">
        <v>446</v>
      </c>
      <c r="D11">
        <v>40</v>
      </c>
      <c r="E11" t="s">
        <v>392</v>
      </c>
    </row>
    <row r="12" spans="1:5" x14ac:dyDescent="0.25">
      <c r="A12" t="s">
        <v>32</v>
      </c>
      <c r="B12" t="s">
        <v>451</v>
      </c>
      <c r="C12" t="s">
        <v>452</v>
      </c>
      <c r="D12">
        <v>110</v>
      </c>
      <c r="E12" t="s">
        <v>377</v>
      </c>
    </row>
    <row r="13" spans="1:5" x14ac:dyDescent="0.25">
      <c r="A13" t="s">
        <v>12</v>
      </c>
      <c r="B13" t="s">
        <v>453</v>
      </c>
      <c r="C13" t="s">
        <v>452</v>
      </c>
      <c r="D13">
        <v>150</v>
      </c>
      <c r="E13" t="s">
        <v>380</v>
      </c>
    </row>
    <row r="14" spans="1:5" x14ac:dyDescent="0.25">
      <c r="A14" t="s">
        <v>47</v>
      </c>
      <c r="B14" t="s">
        <v>454</v>
      </c>
      <c r="C14" t="s">
        <v>452</v>
      </c>
      <c r="D14">
        <v>120</v>
      </c>
      <c r="E14" t="s">
        <v>383</v>
      </c>
    </row>
    <row r="15" spans="1:5" x14ac:dyDescent="0.25">
      <c r="A15" t="s">
        <v>38</v>
      </c>
      <c r="B15" t="s">
        <v>455</v>
      </c>
      <c r="C15" t="s">
        <v>452</v>
      </c>
      <c r="D15">
        <v>95</v>
      </c>
      <c r="E15" t="s">
        <v>387</v>
      </c>
    </row>
    <row r="16" spans="1:5" x14ac:dyDescent="0.25">
      <c r="A16" t="s">
        <v>22</v>
      </c>
      <c r="B16" t="s">
        <v>456</v>
      </c>
      <c r="C16" t="s">
        <v>452</v>
      </c>
      <c r="D16">
        <v>65</v>
      </c>
      <c r="E16" t="s">
        <v>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4C01-7234-4E48-8E99-8DBBB609A80A}">
  <dimension ref="A1:D51"/>
  <sheetViews>
    <sheetView workbookViewId="0">
      <selection activeCell="G3" sqref="G3"/>
    </sheetView>
  </sheetViews>
  <sheetFormatPr defaultRowHeight="15" x14ac:dyDescent="0.25"/>
  <cols>
    <col min="1" max="1" width="12.42578125" bestFit="1" customWidth="1"/>
    <col min="2" max="2" width="16" bestFit="1" customWidth="1"/>
    <col min="3" max="3" width="10.85546875" bestFit="1" customWidth="1"/>
    <col min="4" max="4" width="12.28515625" bestFit="1" customWidth="1"/>
  </cols>
  <sheetData>
    <row r="1" spans="1:4" x14ac:dyDescent="0.25">
      <c r="A1" t="s">
        <v>1</v>
      </c>
      <c r="B1" t="s">
        <v>373</v>
      </c>
      <c r="C1" t="s">
        <v>374</v>
      </c>
      <c r="D1" t="s">
        <v>375</v>
      </c>
    </row>
    <row r="2" spans="1:4" x14ac:dyDescent="0.25">
      <c r="A2" t="s">
        <v>81</v>
      </c>
      <c r="B2" t="s">
        <v>376</v>
      </c>
      <c r="C2" t="s">
        <v>377</v>
      </c>
      <c r="D2" t="s">
        <v>378</v>
      </c>
    </row>
    <row r="3" spans="1:4" x14ac:dyDescent="0.25">
      <c r="A3" t="s">
        <v>61</v>
      </c>
      <c r="B3" t="s">
        <v>379</v>
      </c>
      <c r="C3" t="s">
        <v>380</v>
      </c>
      <c r="D3" t="s">
        <v>381</v>
      </c>
    </row>
    <row r="4" spans="1:4" x14ac:dyDescent="0.25">
      <c r="A4" t="s">
        <v>24</v>
      </c>
      <c r="B4" t="s">
        <v>382</v>
      </c>
      <c r="C4" t="s">
        <v>383</v>
      </c>
      <c r="D4" t="s">
        <v>384</v>
      </c>
    </row>
    <row r="5" spans="1:4" x14ac:dyDescent="0.25">
      <c r="A5" t="s">
        <v>91</v>
      </c>
      <c r="B5" t="s">
        <v>385</v>
      </c>
      <c r="C5" t="s">
        <v>377</v>
      </c>
      <c r="D5" t="s">
        <v>378</v>
      </c>
    </row>
    <row r="6" spans="1:4" x14ac:dyDescent="0.25">
      <c r="A6" t="s">
        <v>110</v>
      </c>
      <c r="B6" t="s">
        <v>386</v>
      </c>
      <c r="C6" t="s">
        <v>387</v>
      </c>
      <c r="D6" t="s">
        <v>381</v>
      </c>
    </row>
    <row r="7" spans="1:4" x14ac:dyDescent="0.25">
      <c r="A7" t="s">
        <v>49</v>
      </c>
      <c r="B7" t="s">
        <v>388</v>
      </c>
      <c r="C7" t="s">
        <v>380</v>
      </c>
      <c r="D7" t="s">
        <v>384</v>
      </c>
    </row>
    <row r="8" spans="1:4" x14ac:dyDescent="0.25">
      <c r="A8" t="s">
        <v>14</v>
      </c>
      <c r="B8" t="s">
        <v>389</v>
      </c>
      <c r="C8" t="s">
        <v>377</v>
      </c>
      <c r="D8" t="s">
        <v>378</v>
      </c>
    </row>
    <row r="9" spans="1:4" x14ac:dyDescent="0.25">
      <c r="A9" t="s">
        <v>40</v>
      </c>
      <c r="B9" t="s">
        <v>390</v>
      </c>
      <c r="C9" t="s">
        <v>383</v>
      </c>
      <c r="D9" t="s">
        <v>381</v>
      </c>
    </row>
    <row r="10" spans="1:4" x14ac:dyDescent="0.25">
      <c r="A10" t="s">
        <v>71</v>
      </c>
      <c r="B10" t="s">
        <v>391</v>
      </c>
      <c r="C10" t="s">
        <v>392</v>
      </c>
      <c r="D10" t="s">
        <v>384</v>
      </c>
    </row>
    <row r="11" spans="1:4" x14ac:dyDescent="0.25">
      <c r="A11" t="s">
        <v>97</v>
      </c>
      <c r="B11" t="s">
        <v>393</v>
      </c>
      <c r="C11" t="s">
        <v>380</v>
      </c>
      <c r="D11" t="s">
        <v>378</v>
      </c>
    </row>
    <row r="12" spans="1:4" x14ac:dyDescent="0.25">
      <c r="A12" t="s">
        <v>57</v>
      </c>
      <c r="B12" t="s">
        <v>394</v>
      </c>
      <c r="C12" t="s">
        <v>377</v>
      </c>
      <c r="D12" t="s">
        <v>381</v>
      </c>
    </row>
    <row r="13" spans="1:4" x14ac:dyDescent="0.25">
      <c r="A13" t="s">
        <v>7</v>
      </c>
      <c r="B13" t="s">
        <v>395</v>
      </c>
      <c r="C13" t="s">
        <v>387</v>
      </c>
      <c r="D13" t="s">
        <v>384</v>
      </c>
    </row>
    <row r="14" spans="1:4" x14ac:dyDescent="0.25">
      <c r="A14" t="s">
        <v>87</v>
      </c>
      <c r="B14" t="s">
        <v>396</v>
      </c>
      <c r="C14" t="s">
        <v>383</v>
      </c>
      <c r="D14" t="s">
        <v>378</v>
      </c>
    </row>
    <row r="15" spans="1:4" x14ac:dyDescent="0.25">
      <c r="A15" t="s">
        <v>77</v>
      </c>
      <c r="B15" t="s">
        <v>397</v>
      </c>
      <c r="C15" t="s">
        <v>377</v>
      </c>
      <c r="D15" t="s">
        <v>381</v>
      </c>
    </row>
    <row r="16" spans="1:4" x14ac:dyDescent="0.25">
      <c r="A16" t="s">
        <v>37</v>
      </c>
      <c r="B16" t="s">
        <v>398</v>
      </c>
      <c r="C16" t="s">
        <v>380</v>
      </c>
      <c r="D16" t="s">
        <v>384</v>
      </c>
    </row>
    <row r="17" spans="1:4" x14ac:dyDescent="0.25">
      <c r="A17" t="s">
        <v>65</v>
      </c>
      <c r="B17" t="s">
        <v>399</v>
      </c>
      <c r="C17" t="s">
        <v>377</v>
      </c>
      <c r="D17" t="s">
        <v>378</v>
      </c>
    </row>
    <row r="18" spans="1:4" x14ac:dyDescent="0.25">
      <c r="A18" t="s">
        <v>116</v>
      </c>
      <c r="B18" t="s">
        <v>400</v>
      </c>
      <c r="C18" t="s">
        <v>392</v>
      </c>
      <c r="D18" t="s">
        <v>381</v>
      </c>
    </row>
    <row r="19" spans="1:4" x14ac:dyDescent="0.25">
      <c r="A19" t="s">
        <v>27</v>
      </c>
      <c r="B19" t="s">
        <v>401</v>
      </c>
      <c r="C19" t="s">
        <v>380</v>
      </c>
      <c r="D19" t="s">
        <v>384</v>
      </c>
    </row>
    <row r="20" spans="1:4" x14ac:dyDescent="0.25">
      <c r="A20" t="s">
        <v>101</v>
      </c>
      <c r="B20" t="s">
        <v>402</v>
      </c>
      <c r="C20" t="s">
        <v>387</v>
      </c>
      <c r="D20" t="s">
        <v>378</v>
      </c>
    </row>
    <row r="21" spans="1:4" x14ac:dyDescent="0.25">
      <c r="A21" t="s">
        <v>403</v>
      </c>
      <c r="B21" t="s">
        <v>404</v>
      </c>
      <c r="C21" t="s">
        <v>377</v>
      </c>
      <c r="D21" t="s">
        <v>381</v>
      </c>
    </row>
    <row r="22" spans="1:4" x14ac:dyDescent="0.25">
      <c r="A22" t="s">
        <v>17</v>
      </c>
      <c r="B22" t="s">
        <v>405</v>
      </c>
      <c r="C22" t="s">
        <v>383</v>
      </c>
      <c r="D22" t="s">
        <v>384</v>
      </c>
    </row>
    <row r="23" spans="1:4" x14ac:dyDescent="0.25">
      <c r="A23" t="s">
        <v>46</v>
      </c>
      <c r="B23" t="s">
        <v>406</v>
      </c>
      <c r="C23" t="s">
        <v>380</v>
      </c>
      <c r="D23" t="s">
        <v>378</v>
      </c>
    </row>
    <row r="24" spans="1:4" x14ac:dyDescent="0.25">
      <c r="A24" t="s">
        <v>93</v>
      </c>
      <c r="B24" t="s">
        <v>407</v>
      </c>
      <c r="C24" t="s">
        <v>377</v>
      </c>
      <c r="D24" t="s">
        <v>381</v>
      </c>
    </row>
    <row r="25" spans="1:4" x14ac:dyDescent="0.25">
      <c r="A25" t="s">
        <v>112</v>
      </c>
      <c r="B25" t="s">
        <v>408</v>
      </c>
      <c r="C25" t="s">
        <v>387</v>
      </c>
      <c r="D25" t="s">
        <v>384</v>
      </c>
    </row>
    <row r="26" spans="1:4" x14ac:dyDescent="0.25">
      <c r="A26" t="s">
        <v>73</v>
      </c>
      <c r="B26" t="s">
        <v>409</v>
      </c>
      <c r="C26" t="s">
        <v>383</v>
      </c>
      <c r="D26" t="s">
        <v>378</v>
      </c>
    </row>
    <row r="27" spans="1:4" x14ac:dyDescent="0.25">
      <c r="A27" t="s">
        <v>120</v>
      </c>
      <c r="B27" t="s">
        <v>410</v>
      </c>
      <c r="C27" t="s">
        <v>377</v>
      </c>
      <c r="D27" t="s">
        <v>381</v>
      </c>
    </row>
    <row r="28" spans="1:4" x14ac:dyDescent="0.25">
      <c r="A28" t="s">
        <v>83</v>
      </c>
      <c r="B28" t="s">
        <v>411</v>
      </c>
      <c r="C28" t="s">
        <v>380</v>
      </c>
      <c r="D28" t="s">
        <v>384</v>
      </c>
    </row>
    <row r="29" spans="1:4" x14ac:dyDescent="0.25">
      <c r="A29" t="s">
        <v>59</v>
      </c>
      <c r="B29" t="s">
        <v>412</v>
      </c>
      <c r="C29" t="s">
        <v>383</v>
      </c>
      <c r="D29" t="s">
        <v>378</v>
      </c>
    </row>
    <row r="30" spans="1:4" x14ac:dyDescent="0.25">
      <c r="A30" t="s">
        <v>31</v>
      </c>
      <c r="B30" t="s">
        <v>413</v>
      </c>
      <c r="C30" t="s">
        <v>380</v>
      </c>
      <c r="D30" t="s">
        <v>381</v>
      </c>
    </row>
    <row r="31" spans="1:4" x14ac:dyDescent="0.25">
      <c r="A31" t="s">
        <v>106</v>
      </c>
      <c r="B31" t="s">
        <v>414</v>
      </c>
      <c r="C31" t="s">
        <v>377</v>
      </c>
      <c r="D31" t="s">
        <v>384</v>
      </c>
    </row>
    <row r="32" spans="1:4" x14ac:dyDescent="0.25">
      <c r="A32" t="s">
        <v>67</v>
      </c>
      <c r="B32" t="s">
        <v>415</v>
      </c>
      <c r="C32" t="s">
        <v>392</v>
      </c>
      <c r="D32" t="s">
        <v>378</v>
      </c>
    </row>
    <row r="33" spans="1:4" x14ac:dyDescent="0.25">
      <c r="A33" t="s">
        <v>99</v>
      </c>
      <c r="B33" t="s">
        <v>416</v>
      </c>
      <c r="C33" t="s">
        <v>380</v>
      </c>
      <c r="D33" t="s">
        <v>381</v>
      </c>
    </row>
    <row r="34" spans="1:4" x14ac:dyDescent="0.25">
      <c r="A34" t="s">
        <v>52</v>
      </c>
      <c r="B34" t="s">
        <v>417</v>
      </c>
      <c r="C34" t="s">
        <v>387</v>
      </c>
      <c r="D34" t="s">
        <v>384</v>
      </c>
    </row>
    <row r="35" spans="1:4" x14ac:dyDescent="0.25">
      <c r="A35" t="s">
        <v>11</v>
      </c>
      <c r="B35" t="s">
        <v>418</v>
      </c>
      <c r="C35" t="s">
        <v>377</v>
      </c>
      <c r="D35" t="s">
        <v>378</v>
      </c>
    </row>
    <row r="36" spans="1:4" x14ac:dyDescent="0.25">
      <c r="A36" t="s">
        <v>118</v>
      </c>
      <c r="B36" t="s">
        <v>419</v>
      </c>
      <c r="C36" t="s">
        <v>383</v>
      </c>
      <c r="D36" t="s">
        <v>381</v>
      </c>
    </row>
    <row r="37" spans="1:4" x14ac:dyDescent="0.25">
      <c r="A37" t="s">
        <v>79</v>
      </c>
      <c r="B37" t="s">
        <v>420</v>
      </c>
      <c r="C37" t="s">
        <v>380</v>
      </c>
      <c r="D37" t="s">
        <v>384</v>
      </c>
    </row>
    <row r="38" spans="1:4" x14ac:dyDescent="0.25">
      <c r="A38" t="s">
        <v>43</v>
      </c>
      <c r="B38" t="s">
        <v>421</v>
      </c>
      <c r="C38" t="s">
        <v>377</v>
      </c>
      <c r="D38" t="s">
        <v>378</v>
      </c>
    </row>
    <row r="39" spans="1:4" x14ac:dyDescent="0.25">
      <c r="A39" t="s">
        <v>89</v>
      </c>
      <c r="B39" t="s">
        <v>422</v>
      </c>
      <c r="C39" t="s">
        <v>392</v>
      </c>
      <c r="D39" t="s">
        <v>381</v>
      </c>
    </row>
    <row r="40" spans="1:4" x14ac:dyDescent="0.25">
      <c r="A40" t="s">
        <v>63</v>
      </c>
      <c r="B40" t="s">
        <v>423</v>
      </c>
      <c r="C40" t="s">
        <v>383</v>
      </c>
      <c r="D40" t="s">
        <v>384</v>
      </c>
    </row>
    <row r="41" spans="1:4" x14ac:dyDescent="0.25">
      <c r="A41" t="s">
        <v>114</v>
      </c>
      <c r="B41" t="s">
        <v>424</v>
      </c>
      <c r="C41" t="s">
        <v>380</v>
      </c>
      <c r="D41" t="s">
        <v>378</v>
      </c>
    </row>
    <row r="42" spans="1:4" x14ac:dyDescent="0.25">
      <c r="A42" t="s">
        <v>34</v>
      </c>
      <c r="B42" t="s">
        <v>425</v>
      </c>
      <c r="C42" t="s">
        <v>377</v>
      </c>
      <c r="D42" t="s">
        <v>381</v>
      </c>
    </row>
    <row r="43" spans="1:4" x14ac:dyDescent="0.25">
      <c r="A43" t="s">
        <v>75</v>
      </c>
      <c r="B43" t="s">
        <v>426</v>
      </c>
      <c r="C43" t="s">
        <v>387</v>
      </c>
      <c r="D43" t="s">
        <v>384</v>
      </c>
    </row>
    <row r="44" spans="1:4" x14ac:dyDescent="0.25">
      <c r="A44" t="s">
        <v>103</v>
      </c>
      <c r="B44" t="s">
        <v>427</v>
      </c>
      <c r="C44" t="s">
        <v>380</v>
      </c>
      <c r="D44" t="s">
        <v>378</v>
      </c>
    </row>
    <row r="45" spans="1:4" x14ac:dyDescent="0.25">
      <c r="A45" t="s">
        <v>55</v>
      </c>
      <c r="B45" t="s">
        <v>428</v>
      </c>
      <c r="C45" t="s">
        <v>383</v>
      </c>
      <c r="D45" t="s">
        <v>381</v>
      </c>
    </row>
    <row r="46" spans="1:4" x14ac:dyDescent="0.25">
      <c r="A46" t="s">
        <v>21</v>
      </c>
      <c r="B46" t="s">
        <v>429</v>
      </c>
      <c r="C46" t="s">
        <v>377</v>
      </c>
      <c r="D46" t="s">
        <v>384</v>
      </c>
    </row>
    <row r="47" spans="1:4" x14ac:dyDescent="0.25">
      <c r="A47" t="s">
        <v>95</v>
      </c>
      <c r="B47" t="s">
        <v>430</v>
      </c>
      <c r="C47" t="s">
        <v>380</v>
      </c>
      <c r="D47" t="s">
        <v>378</v>
      </c>
    </row>
    <row r="48" spans="1:4" x14ac:dyDescent="0.25">
      <c r="A48" t="s">
        <v>108</v>
      </c>
      <c r="B48" t="s">
        <v>431</v>
      </c>
      <c r="C48" t="s">
        <v>387</v>
      </c>
      <c r="D48" t="s">
        <v>381</v>
      </c>
    </row>
    <row r="49" spans="1:4" x14ac:dyDescent="0.25">
      <c r="A49" t="s">
        <v>69</v>
      </c>
      <c r="B49" t="s">
        <v>432</v>
      </c>
      <c r="C49" t="s">
        <v>383</v>
      </c>
      <c r="D49" t="s">
        <v>384</v>
      </c>
    </row>
    <row r="50" spans="1:4" x14ac:dyDescent="0.25">
      <c r="A50" t="s">
        <v>122</v>
      </c>
      <c r="B50" t="s">
        <v>433</v>
      </c>
      <c r="C50" t="s">
        <v>377</v>
      </c>
      <c r="D50" t="s">
        <v>378</v>
      </c>
    </row>
    <row r="51" spans="1:4" x14ac:dyDescent="0.25">
      <c r="A51" t="s">
        <v>85</v>
      </c>
      <c r="B51" t="s">
        <v>434</v>
      </c>
      <c r="C51" t="s">
        <v>380</v>
      </c>
      <c r="D51" t="s">
        <v>381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673D-7379-4A04-9256-653CFF024A6A}">
  <dimension ref="A3:M107"/>
  <sheetViews>
    <sheetView topLeftCell="D79" workbookViewId="0">
      <selection activeCell="K85" sqref="K85"/>
    </sheetView>
  </sheetViews>
  <sheetFormatPr defaultRowHeight="15" x14ac:dyDescent="0.25"/>
  <cols>
    <col min="1" max="1" width="17.28515625" bestFit="1" customWidth="1"/>
    <col min="2" max="2" width="16.28515625" bestFit="1" customWidth="1"/>
    <col min="3" max="3" width="8.28515625" bestFit="1" customWidth="1"/>
    <col min="4" max="4" width="9.28515625" bestFit="1" customWidth="1"/>
    <col min="5" max="5" width="15.42578125" bestFit="1" customWidth="1"/>
    <col min="7" max="7" width="15.42578125" bestFit="1" customWidth="1"/>
    <col min="8" max="8" width="21.140625" bestFit="1" customWidth="1"/>
    <col min="11" max="11" width="21.140625" bestFit="1" customWidth="1"/>
    <col min="12" max="12" width="17.28515625" bestFit="1" customWidth="1"/>
    <col min="13" max="13" width="15.42578125" bestFit="1" customWidth="1"/>
    <col min="14" max="14" width="18.28515625" bestFit="1" customWidth="1"/>
  </cols>
  <sheetData>
    <row r="3" spans="1:5" x14ac:dyDescent="0.25">
      <c r="A3" s="2" t="s">
        <v>463</v>
      </c>
      <c r="B3" t="s">
        <v>465</v>
      </c>
      <c r="D3" s="2" t="s">
        <v>463</v>
      </c>
      <c r="E3" t="s">
        <v>487</v>
      </c>
    </row>
    <row r="4" spans="1:5" x14ac:dyDescent="0.25">
      <c r="A4" s="3" t="s">
        <v>452</v>
      </c>
      <c r="B4" s="66">
        <v>21520</v>
      </c>
      <c r="D4" s="3" t="s">
        <v>392</v>
      </c>
      <c r="E4" s="66">
        <v>17</v>
      </c>
    </row>
    <row r="5" spans="1:5" x14ac:dyDescent="0.25">
      <c r="A5" s="3" t="s">
        <v>464</v>
      </c>
      <c r="B5" s="66">
        <v>21520</v>
      </c>
      <c r="D5" s="3" t="s">
        <v>383</v>
      </c>
      <c r="E5" s="66">
        <v>31</v>
      </c>
    </row>
    <row r="6" spans="1:5" x14ac:dyDescent="0.25">
      <c r="D6" s="3" t="s">
        <v>377</v>
      </c>
      <c r="E6" s="66">
        <v>54</v>
      </c>
    </row>
    <row r="7" spans="1:5" x14ac:dyDescent="0.25">
      <c r="D7" s="3" t="s">
        <v>380</v>
      </c>
      <c r="E7" s="66">
        <v>53</v>
      </c>
    </row>
    <row r="8" spans="1:5" x14ac:dyDescent="0.25">
      <c r="D8" s="3" t="s">
        <v>387</v>
      </c>
      <c r="E8" s="66">
        <v>30</v>
      </c>
    </row>
    <row r="9" spans="1:5" x14ac:dyDescent="0.25">
      <c r="D9" s="3" t="s">
        <v>464</v>
      </c>
      <c r="E9" s="66">
        <v>185</v>
      </c>
    </row>
    <row r="21" spans="1:2" x14ac:dyDescent="0.25">
      <c r="A21" s="2" t="s">
        <v>463</v>
      </c>
      <c r="B21" t="s">
        <v>465</v>
      </c>
    </row>
    <row r="22" spans="1:2" x14ac:dyDescent="0.25">
      <c r="A22" s="3" t="s">
        <v>377</v>
      </c>
      <c r="B22" s="66">
        <v>6395</v>
      </c>
    </row>
    <row r="23" spans="1:2" x14ac:dyDescent="0.25">
      <c r="A23" s="3" t="s">
        <v>380</v>
      </c>
      <c r="B23" s="66">
        <v>6265</v>
      </c>
    </row>
    <row r="24" spans="1:2" x14ac:dyDescent="0.25">
      <c r="A24" s="3" t="s">
        <v>383</v>
      </c>
      <c r="B24" s="66">
        <v>3465</v>
      </c>
    </row>
    <row r="25" spans="1:2" x14ac:dyDescent="0.25">
      <c r="A25" s="3" t="s">
        <v>387</v>
      </c>
      <c r="B25" s="66">
        <v>3360</v>
      </c>
    </row>
    <row r="26" spans="1:2" x14ac:dyDescent="0.25">
      <c r="A26" s="3" t="s">
        <v>392</v>
      </c>
      <c r="B26" s="66">
        <v>2035</v>
      </c>
    </row>
    <row r="27" spans="1:2" x14ac:dyDescent="0.25">
      <c r="A27" s="3" t="s">
        <v>464</v>
      </c>
      <c r="B27" s="66">
        <v>21520</v>
      </c>
    </row>
    <row r="33" spans="1:4" x14ac:dyDescent="0.25">
      <c r="A33" s="2" t="s">
        <v>467</v>
      </c>
      <c r="B33" s="2" t="s">
        <v>466</v>
      </c>
    </row>
    <row r="34" spans="1:4" x14ac:dyDescent="0.25">
      <c r="A34" s="2" t="s">
        <v>463</v>
      </c>
      <c r="B34" t="s">
        <v>9</v>
      </c>
      <c r="C34" t="s">
        <v>29</v>
      </c>
      <c r="D34" t="s">
        <v>19</v>
      </c>
    </row>
    <row r="35" spans="1:4" x14ac:dyDescent="0.25">
      <c r="A35" s="3" t="s">
        <v>392</v>
      </c>
      <c r="B35" s="66">
        <v>8</v>
      </c>
      <c r="C35" s="66"/>
      <c r="D35" s="66"/>
    </row>
    <row r="36" spans="1:4" x14ac:dyDescent="0.25">
      <c r="A36" s="3" t="s">
        <v>383</v>
      </c>
      <c r="B36" s="66">
        <v>14</v>
      </c>
      <c r="C36" s="66"/>
      <c r="D36" s="66">
        <v>2</v>
      </c>
    </row>
    <row r="37" spans="1:4" x14ac:dyDescent="0.25">
      <c r="A37" s="3" t="s">
        <v>377</v>
      </c>
      <c r="B37" s="66">
        <v>22</v>
      </c>
      <c r="C37" s="66">
        <v>1</v>
      </c>
      <c r="D37" s="66">
        <v>5</v>
      </c>
    </row>
    <row r="38" spans="1:4" x14ac:dyDescent="0.25">
      <c r="A38" s="3" t="s">
        <v>380</v>
      </c>
      <c r="B38" s="66">
        <v>23</v>
      </c>
      <c r="C38" s="66">
        <v>1</v>
      </c>
      <c r="D38" s="66">
        <v>1</v>
      </c>
    </row>
    <row r="39" spans="1:4" x14ac:dyDescent="0.25">
      <c r="A39" s="3" t="s">
        <v>387</v>
      </c>
      <c r="B39" s="66">
        <v>13</v>
      </c>
      <c r="C39" s="66">
        <v>1</v>
      </c>
      <c r="D39" s="66">
        <v>3</v>
      </c>
    </row>
    <row r="40" spans="1:4" x14ac:dyDescent="0.25">
      <c r="A40" s="3" t="s">
        <v>464</v>
      </c>
      <c r="B40" s="66">
        <v>80</v>
      </c>
      <c r="C40" s="66">
        <v>3</v>
      </c>
      <c r="D40" s="66">
        <v>11</v>
      </c>
    </row>
    <row r="54" spans="1:2" x14ac:dyDescent="0.25">
      <c r="A54" s="2" t="s">
        <v>463</v>
      </c>
      <c r="B54" t="s">
        <v>465</v>
      </c>
    </row>
    <row r="55" spans="1:2" x14ac:dyDescent="0.25">
      <c r="A55" s="3" t="s">
        <v>453</v>
      </c>
      <c r="B55" s="66">
        <v>6300</v>
      </c>
    </row>
    <row r="56" spans="1:2" x14ac:dyDescent="0.25">
      <c r="A56" s="3" t="s">
        <v>454</v>
      </c>
      <c r="B56" s="66">
        <v>5400</v>
      </c>
    </row>
    <row r="57" spans="1:2" x14ac:dyDescent="0.25">
      <c r="A57" s="3" t="s">
        <v>451</v>
      </c>
      <c r="B57" s="66">
        <v>4840</v>
      </c>
    </row>
    <row r="58" spans="1:2" x14ac:dyDescent="0.25">
      <c r="A58" s="3" t="s">
        <v>455</v>
      </c>
      <c r="B58" s="66">
        <v>4655</v>
      </c>
    </row>
    <row r="59" spans="1:2" x14ac:dyDescent="0.25">
      <c r="A59" s="3" t="s">
        <v>456</v>
      </c>
      <c r="B59" s="66">
        <v>325</v>
      </c>
    </row>
    <row r="60" spans="1:2" x14ac:dyDescent="0.25">
      <c r="A60" s="3" t="s">
        <v>464</v>
      </c>
      <c r="B60" s="66">
        <v>21520</v>
      </c>
    </row>
    <row r="74" spans="1:2" x14ac:dyDescent="0.25">
      <c r="A74" s="2" t="s">
        <v>463</v>
      </c>
      <c r="B74" t="s">
        <v>465</v>
      </c>
    </row>
    <row r="75" spans="1:2" x14ac:dyDescent="0.25">
      <c r="A75" s="3" t="s">
        <v>378</v>
      </c>
      <c r="B75" s="66">
        <v>8350</v>
      </c>
    </row>
    <row r="76" spans="1:2" x14ac:dyDescent="0.25">
      <c r="A76" s="3" t="s">
        <v>384</v>
      </c>
      <c r="B76" s="66">
        <v>7175</v>
      </c>
    </row>
    <row r="77" spans="1:2" x14ac:dyDescent="0.25">
      <c r="A77" s="3" t="s">
        <v>381</v>
      </c>
      <c r="B77" s="66">
        <v>5995</v>
      </c>
    </row>
    <row r="78" spans="1:2" x14ac:dyDescent="0.25">
      <c r="A78" s="3" t="s">
        <v>464</v>
      </c>
      <c r="B78" s="66">
        <v>21520</v>
      </c>
    </row>
    <row r="82" spans="1:13" x14ac:dyDescent="0.25">
      <c r="K82" s="2" t="s">
        <v>5</v>
      </c>
      <c r="L82" t="s">
        <v>512</v>
      </c>
    </row>
    <row r="84" spans="1:13" x14ac:dyDescent="0.25">
      <c r="A84" s="2" t="s">
        <v>463</v>
      </c>
      <c r="B84" t="s">
        <v>465</v>
      </c>
      <c r="K84" t="s">
        <v>465</v>
      </c>
      <c r="L84" t="s">
        <v>467</v>
      </c>
      <c r="M84" t="s">
        <v>487</v>
      </c>
    </row>
    <row r="85" spans="1:13" x14ac:dyDescent="0.25">
      <c r="A85" s="3" t="s">
        <v>377</v>
      </c>
      <c r="B85" s="66">
        <v>6395</v>
      </c>
      <c r="K85" s="66">
        <v>21520</v>
      </c>
      <c r="L85" s="66">
        <v>94</v>
      </c>
      <c r="M85" s="66">
        <v>185</v>
      </c>
    </row>
    <row r="86" spans="1:13" x14ac:dyDescent="0.25">
      <c r="A86" s="3" t="s">
        <v>380</v>
      </c>
      <c r="B86" s="66">
        <v>6265</v>
      </c>
      <c r="G86" s="2" t="s">
        <v>463</v>
      </c>
      <c r="H86" t="s">
        <v>465</v>
      </c>
    </row>
    <row r="87" spans="1:13" x14ac:dyDescent="0.25">
      <c r="A87" s="3" t="s">
        <v>383</v>
      </c>
      <c r="B87" s="66">
        <v>3465</v>
      </c>
      <c r="G87" s="3" t="s">
        <v>452</v>
      </c>
      <c r="H87" s="42">
        <v>1</v>
      </c>
    </row>
    <row r="88" spans="1:13" x14ac:dyDescent="0.25">
      <c r="A88" s="3" t="s">
        <v>387</v>
      </c>
      <c r="B88" s="66">
        <v>3360</v>
      </c>
      <c r="G88" s="3" t="s">
        <v>464</v>
      </c>
      <c r="H88" s="42">
        <v>1</v>
      </c>
    </row>
    <row r="89" spans="1:13" x14ac:dyDescent="0.25">
      <c r="A89" s="3" t="s">
        <v>392</v>
      </c>
      <c r="B89" s="66">
        <v>2035</v>
      </c>
    </row>
    <row r="90" spans="1:13" x14ac:dyDescent="0.25">
      <c r="A90" s="3" t="s">
        <v>464</v>
      </c>
      <c r="B90" s="66">
        <v>21520</v>
      </c>
    </row>
    <row r="93" spans="1:13" x14ac:dyDescent="0.25">
      <c r="A93" s="2" t="s">
        <v>467</v>
      </c>
      <c r="B93" s="2" t="s">
        <v>466</v>
      </c>
    </row>
    <row r="94" spans="1:13" x14ac:dyDescent="0.25">
      <c r="A94" s="2" t="s">
        <v>463</v>
      </c>
      <c r="B94" t="s">
        <v>9</v>
      </c>
      <c r="C94" t="s">
        <v>29</v>
      </c>
      <c r="D94" t="s">
        <v>19</v>
      </c>
      <c r="G94" s="2" t="s">
        <v>463</v>
      </c>
      <c r="H94" t="s">
        <v>465</v>
      </c>
    </row>
    <row r="95" spans="1:13" x14ac:dyDescent="0.25">
      <c r="A95" s="3" t="s">
        <v>392</v>
      </c>
      <c r="B95" s="42">
        <v>1</v>
      </c>
      <c r="C95" s="42">
        <v>0</v>
      </c>
      <c r="D95" s="42">
        <v>0</v>
      </c>
      <c r="G95" s="3" t="s">
        <v>453</v>
      </c>
      <c r="H95" s="66">
        <v>6300</v>
      </c>
    </row>
    <row r="96" spans="1:13" x14ac:dyDescent="0.25">
      <c r="A96" s="3" t="s">
        <v>383</v>
      </c>
      <c r="B96" s="42">
        <v>0.875</v>
      </c>
      <c r="C96" s="42">
        <v>0</v>
      </c>
      <c r="D96" s="42">
        <v>0.125</v>
      </c>
      <c r="G96" s="3" t="s">
        <v>454</v>
      </c>
      <c r="H96" s="66">
        <v>5400</v>
      </c>
    </row>
    <row r="97" spans="1:8" x14ac:dyDescent="0.25">
      <c r="A97" s="3" t="s">
        <v>377</v>
      </c>
      <c r="B97" s="42">
        <v>0.7857142857142857</v>
      </c>
      <c r="C97" s="42">
        <v>3.5714285714285712E-2</v>
      </c>
      <c r="D97" s="42">
        <v>0.17857142857142858</v>
      </c>
      <c r="G97" s="3" t="s">
        <v>451</v>
      </c>
      <c r="H97" s="66">
        <v>4840</v>
      </c>
    </row>
    <row r="98" spans="1:8" x14ac:dyDescent="0.25">
      <c r="A98" s="3" t="s">
        <v>380</v>
      </c>
      <c r="B98" s="42">
        <v>0.92</v>
      </c>
      <c r="C98" s="42">
        <v>0.04</v>
      </c>
      <c r="D98" s="42">
        <v>0.04</v>
      </c>
      <c r="G98" s="3" t="s">
        <v>455</v>
      </c>
      <c r="H98" s="66">
        <v>4655</v>
      </c>
    </row>
    <row r="99" spans="1:8" x14ac:dyDescent="0.25">
      <c r="A99" s="3" t="s">
        <v>387</v>
      </c>
      <c r="B99" s="42">
        <v>0.76470588235294112</v>
      </c>
      <c r="C99" s="42">
        <v>5.8823529411764705E-2</v>
      </c>
      <c r="D99" s="42">
        <v>0.17647058823529413</v>
      </c>
      <c r="G99" s="3" t="s">
        <v>456</v>
      </c>
      <c r="H99" s="66">
        <v>325</v>
      </c>
    </row>
    <row r="100" spans="1:8" x14ac:dyDescent="0.25">
      <c r="A100" s="3" t="s">
        <v>464</v>
      </c>
      <c r="B100" s="42">
        <v>0.85106382978723405</v>
      </c>
      <c r="C100" s="42">
        <v>3.1914893617021274E-2</v>
      </c>
      <c r="D100" s="42">
        <v>0.11702127659574468</v>
      </c>
      <c r="G100" s="3" t="s">
        <v>464</v>
      </c>
      <c r="H100" s="66">
        <v>21520</v>
      </c>
    </row>
    <row r="103" spans="1:8" x14ac:dyDescent="0.25">
      <c r="A103" s="2" t="s">
        <v>463</v>
      </c>
      <c r="B103" t="s">
        <v>465</v>
      </c>
    </row>
    <row r="104" spans="1:8" x14ac:dyDescent="0.25">
      <c r="A104" s="3" t="s">
        <v>378</v>
      </c>
      <c r="B104" s="42">
        <v>0.38801115241635686</v>
      </c>
    </row>
    <row r="105" spans="1:8" x14ac:dyDescent="0.25">
      <c r="A105" s="3" t="s">
        <v>384</v>
      </c>
      <c r="B105" s="42">
        <v>0.33341078066914498</v>
      </c>
    </row>
    <row r="106" spans="1:8" x14ac:dyDescent="0.25">
      <c r="A106" s="3" t="s">
        <v>381</v>
      </c>
      <c r="B106" s="42">
        <v>0.27857806691449816</v>
      </c>
    </row>
    <row r="107" spans="1:8" x14ac:dyDescent="0.25">
      <c r="A107" s="3" t="s">
        <v>464</v>
      </c>
      <c r="B107" s="42">
        <v>1</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1B1A-B674-4255-A025-EE4409A8B666}">
  <dimension ref="A1:X47"/>
  <sheetViews>
    <sheetView showGridLines="0" tabSelected="1" topLeftCell="A3" zoomScale="80" zoomScaleNormal="80" workbookViewId="0">
      <selection activeCell="Z12" sqref="Z12"/>
    </sheetView>
  </sheetViews>
  <sheetFormatPr defaultRowHeight="15" x14ac:dyDescent="0.25"/>
  <cols>
    <col min="4" max="4" width="12.140625" customWidth="1"/>
    <col min="9" max="9" width="7.7109375" customWidth="1"/>
    <col min="13" max="13" width="8.7109375" customWidth="1"/>
    <col min="18" max="18" width="9.7109375" customWidth="1"/>
    <col min="19" max="19" width="9" customWidth="1"/>
    <col min="20" max="20" width="6.5703125" customWidth="1"/>
    <col min="24" max="24" width="12.140625" customWidth="1"/>
  </cols>
  <sheetData>
    <row r="1" spans="1:24" x14ac:dyDescent="0.25">
      <c r="A1" s="4"/>
      <c r="B1" s="4"/>
      <c r="C1" s="4"/>
      <c r="D1" s="4"/>
      <c r="E1" s="4"/>
      <c r="F1" s="4"/>
      <c r="G1" s="4"/>
      <c r="H1" s="4"/>
      <c r="I1" s="4"/>
      <c r="J1" s="4"/>
      <c r="K1" s="4"/>
      <c r="L1" s="4"/>
      <c r="M1" s="4"/>
      <c r="N1" s="4"/>
      <c r="O1" s="4"/>
      <c r="P1" s="4"/>
      <c r="Q1" s="4"/>
      <c r="R1" s="4"/>
      <c r="S1" s="4"/>
      <c r="T1" s="4"/>
      <c r="U1" s="4"/>
      <c r="V1" s="4"/>
      <c r="W1" s="4"/>
      <c r="X1" s="4"/>
    </row>
    <row r="2" spans="1:24" ht="23.25" x14ac:dyDescent="0.35">
      <c r="A2" s="4"/>
      <c r="B2" s="4"/>
      <c r="C2" s="4"/>
      <c r="D2" s="7" t="s">
        <v>468</v>
      </c>
      <c r="E2" s="4"/>
      <c r="F2" s="4"/>
      <c r="G2" s="4"/>
      <c r="H2" s="4"/>
      <c r="I2" s="4"/>
      <c r="J2" s="4"/>
      <c r="K2" s="4"/>
      <c r="L2" s="4"/>
      <c r="M2" s="4"/>
      <c r="N2" s="4"/>
      <c r="O2" s="4"/>
      <c r="P2" s="4"/>
      <c r="Q2" s="4"/>
      <c r="R2" s="4"/>
      <c r="S2" s="4"/>
      <c r="T2" s="4"/>
      <c r="U2" s="4"/>
      <c r="V2" s="4"/>
      <c r="W2" s="6" t="s">
        <v>481</v>
      </c>
      <c r="X2" s="4"/>
    </row>
    <row r="3" spans="1:24" x14ac:dyDescent="0.25">
      <c r="A3" s="4"/>
      <c r="B3" s="4"/>
      <c r="C3" s="4"/>
      <c r="D3" s="6" t="s">
        <v>480</v>
      </c>
      <c r="E3" s="4"/>
      <c r="F3" s="4"/>
      <c r="G3" s="4"/>
      <c r="H3" s="4"/>
      <c r="I3" s="4"/>
      <c r="J3" s="4"/>
      <c r="K3" s="4"/>
      <c r="L3" s="4"/>
      <c r="M3" s="4"/>
      <c r="N3" s="4"/>
      <c r="O3" s="4"/>
      <c r="P3" s="4"/>
      <c r="Q3" s="4"/>
      <c r="R3" s="4"/>
      <c r="S3" s="4"/>
      <c r="T3" s="4"/>
      <c r="U3" s="4"/>
      <c r="V3" s="4"/>
      <c r="W3" s="8" t="s">
        <v>482</v>
      </c>
      <c r="X3" s="4"/>
    </row>
    <row r="4" spans="1:24" x14ac:dyDescent="0.25">
      <c r="A4" s="4"/>
      <c r="B4" s="4"/>
      <c r="C4" s="4"/>
      <c r="D4" s="4"/>
      <c r="E4" s="4"/>
      <c r="F4" s="4"/>
      <c r="G4" s="4"/>
      <c r="H4" s="4"/>
      <c r="I4" s="4"/>
      <c r="J4" s="4"/>
      <c r="K4" s="4"/>
      <c r="L4" s="4"/>
      <c r="M4" s="4"/>
      <c r="N4" s="4"/>
      <c r="O4" s="4"/>
      <c r="P4" s="4"/>
      <c r="Q4" s="4"/>
      <c r="R4" s="4"/>
      <c r="S4" s="4"/>
      <c r="T4" s="4"/>
      <c r="U4" s="4"/>
      <c r="V4" s="4"/>
      <c r="W4" s="4"/>
      <c r="X4" s="4"/>
    </row>
    <row r="5" spans="1:24" ht="15.75" thickBot="1" x14ac:dyDescent="0.3"/>
    <row r="6" spans="1:24" x14ac:dyDescent="0.25">
      <c r="B6" s="14"/>
      <c r="C6" s="23" t="s">
        <v>483</v>
      </c>
      <c r="D6" s="15"/>
      <c r="F6" s="16"/>
      <c r="G6" s="24" t="s">
        <v>470</v>
      </c>
      <c r="H6" s="17"/>
      <c r="J6" s="25"/>
      <c r="K6" s="26" t="s">
        <v>484</v>
      </c>
      <c r="L6" s="18"/>
      <c r="N6" s="29"/>
      <c r="O6" s="30" t="s">
        <v>485</v>
      </c>
      <c r="P6" s="31"/>
      <c r="R6" s="19"/>
      <c r="S6" s="28" t="s">
        <v>479</v>
      </c>
      <c r="T6" s="20"/>
      <c r="V6" s="21"/>
      <c r="W6" s="27" t="s">
        <v>472</v>
      </c>
      <c r="X6" s="22"/>
    </row>
    <row r="7" spans="1:24" ht="28.5" x14ac:dyDescent="0.45">
      <c r="B7" s="51">
        <f>Orders!Q1</f>
        <v>21520</v>
      </c>
      <c r="C7" s="52"/>
      <c r="D7" s="53"/>
      <c r="F7" s="54">
        <f>Orders!Q2</f>
        <v>94</v>
      </c>
      <c r="G7" s="55"/>
      <c r="H7" s="56"/>
      <c r="J7" s="57">
        <f>Orders!Q3</f>
        <v>228.93617021276594</v>
      </c>
      <c r="K7" s="58"/>
      <c r="L7" s="59"/>
      <c r="N7" s="60">
        <f>Orders!Q15</f>
        <v>185</v>
      </c>
      <c r="O7" s="61"/>
      <c r="P7" s="62"/>
      <c r="R7" s="63">
        <f>Orders!Q13</f>
        <v>0.88</v>
      </c>
      <c r="S7" s="64"/>
      <c r="T7" s="65"/>
      <c r="V7" s="48" t="str">
        <f>Orders!Q4</f>
        <v xml:space="preserve">Lahore </v>
      </c>
      <c r="W7" s="49"/>
      <c r="X7" s="50"/>
    </row>
    <row r="8" spans="1:24" x14ac:dyDescent="0.25">
      <c r="B8" s="9"/>
      <c r="C8" s="32" t="s">
        <v>478</v>
      </c>
      <c r="D8" s="10"/>
      <c r="F8" s="9"/>
      <c r="G8" s="33" t="s">
        <v>478</v>
      </c>
      <c r="H8" s="10"/>
      <c r="J8" s="9"/>
      <c r="K8" s="33" t="s">
        <v>478</v>
      </c>
      <c r="L8" s="10"/>
      <c r="N8" s="9"/>
      <c r="O8" s="33" t="s">
        <v>478</v>
      </c>
      <c r="P8" s="10"/>
      <c r="R8" s="9"/>
      <c r="S8" s="33" t="s">
        <v>478</v>
      </c>
      <c r="T8" s="10"/>
      <c r="V8" s="9"/>
      <c r="W8" s="34" t="str">
        <f>TEXT(SUMIF(Orders!K2:K301,"Lahore",Orders!M2:M301)/SUM(Orders!M2:M301),"0.0%")&amp;" of Total Revenue"</f>
        <v>29.3% of Total Revenue</v>
      </c>
      <c r="X8" s="10"/>
    </row>
    <row r="9" spans="1:24" ht="15.75" thickBot="1" x14ac:dyDescent="0.3">
      <c r="B9" s="11"/>
      <c r="C9" s="12"/>
      <c r="D9" s="13"/>
      <c r="F9" s="11"/>
      <c r="G9" s="12"/>
      <c r="H9" s="13"/>
      <c r="J9" s="11"/>
      <c r="K9" s="12"/>
      <c r="L9" s="13"/>
      <c r="N9" s="11"/>
      <c r="O9" s="12"/>
      <c r="P9" s="13"/>
      <c r="R9" s="11"/>
      <c r="S9" s="12"/>
      <c r="T9" s="13"/>
      <c r="V9" s="11"/>
      <c r="W9" s="12"/>
      <c r="X9" s="13"/>
    </row>
    <row r="10" spans="1:24" s="38" customFormat="1" x14ac:dyDescent="0.25">
      <c r="W10" s="43" t="s">
        <v>488</v>
      </c>
    </row>
    <row r="11" spans="1:24" x14ac:dyDescent="0.25">
      <c r="M11" s="39"/>
    </row>
    <row r="12" spans="1:24" x14ac:dyDescent="0.25">
      <c r="M12" s="40"/>
      <c r="N12" s="41"/>
    </row>
    <row r="13" spans="1:24" x14ac:dyDescent="0.25">
      <c r="M13" s="40"/>
      <c r="N13" s="41"/>
    </row>
    <row r="14" spans="1:24" x14ac:dyDescent="0.25">
      <c r="M14" s="40"/>
      <c r="N14" s="41"/>
    </row>
    <row r="15" spans="1:24" x14ac:dyDescent="0.25">
      <c r="M15" s="40"/>
      <c r="N15" s="41"/>
    </row>
    <row r="16" spans="1:24" x14ac:dyDescent="0.25">
      <c r="M16" s="40"/>
      <c r="N16" s="41"/>
    </row>
    <row r="41" spans="2:20" x14ac:dyDescent="0.25">
      <c r="B41" s="44" t="s">
        <v>489</v>
      </c>
      <c r="C41" s="38"/>
      <c r="D41" s="38"/>
      <c r="E41" s="38"/>
      <c r="F41" s="44" t="s">
        <v>494</v>
      </c>
      <c r="G41" s="38"/>
      <c r="H41" s="38"/>
      <c r="I41" s="44" t="s">
        <v>499</v>
      </c>
      <c r="J41" s="38"/>
      <c r="K41" s="38"/>
      <c r="L41" s="38"/>
      <c r="M41" s="38"/>
      <c r="N41" s="44" t="s">
        <v>506</v>
      </c>
      <c r="O41" s="38"/>
      <c r="P41" s="38"/>
      <c r="Q41" s="38"/>
      <c r="R41" s="38"/>
      <c r="S41" s="38"/>
      <c r="T41" s="38"/>
    </row>
    <row r="42" spans="2:20" x14ac:dyDescent="0.25">
      <c r="B42" s="45" t="s">
        <v>490</v>
      </c>
      <c r="C42" s="38"/>
      <c r="D42" s="38"/>
      <c r="E42" s="38"/>
      <c r="F42" s="45" t="s">
        <v>496</v>
      </c>
      <c r="G42" s="38"/>
      <c r="H42" s="38"/>
      <c r="I42" s="45" t="s">
        <v>500</v>
      </c>
      <c r="J42" s="38"/>
      <c r="K42" s="38"/>
      <c r="L42" s="38"/>
      <c r="M42" s="38"/>
      <c r="N42" s="38"/>
      <c r="O42" s="45" t="s">
        <v>507</v>
      </c>
      <c r="P42" s="38"/>
      <c r="Q42" s="38"/>
      <c r="R42" s="38"/>
      <c r="S42" s="38"/>
      <c r="T42" s="38"/>
    </row>
    <row r="43" spans="2:20" x14ac:dyDescent="0.25">
      <c r="B43" s="45" t="s">
        <v>491</v>
      </c>
      <c r="C43" s="38"/>
      <c r="D43" s="38"/>
      <c r="E43" s="38"/>
      <c r="F43" s="45" t="s">
        <v>497</v>
      </c>
      <c r="G43" s="38"/>
      <c r="H43" s="38"/>
      <c r="I43" s="45" t="s">
        <v>501</v>
      </c>
      <c r="J43" s="38"/>
      <c r="K43" s="38"/>
      <c r="L43" s="38"/>
      <c r="M43" s="38"/>
      <c r="N43" s="38"/>
      <c r="O43" s="45" t="s">
        <v>508</v>
      </c>
      <c r="P43" s="38"/>
      <c r="Q43" s="38"/>
      <c r="R43" s="38"/>
      <c r="S43" s="38"/>
      <c r="T43" s="38"/>
    </row>
    <row r="44" spans="2:20" x14ac:dyDescent="0.25">
      <c r="B44" s="45" t="s">
        <v>492</v>
      </c>
      <c r="C44" s="38"/>
      <c r="D44" s="38"/>
      <c r="E44" s="38"/>
      <c r="F44" s="45" t="s">
        <v>498</v>
      </c>
      <c r="G44" s="38"/>
      <c r="H44" s="38"/>
      <c r="I44" s="45" t="s">
        <v>502</v>
      </c>
      <c r="J44" s="38"/>
      <c r="K44" s="38"/>
      <c r="L44" s="38"/>
      <c r="M44" s="38"/>
      <c r="N44" s="38"/>
      <c r="O44" s="45" t="s">
        <v>509</v>
      </c>
      <c r="P44" s="38"/>
      <c r="Q44" s="38"/>
      <c r="R44" s="38"/>
      <c r="S44" s="38"/>
      <c r="T44" s="38"/>
    </row>
    <row r="45" spans="2:20" x14ac:dyDescent="0.25">
      <c r="B45" s="46" t="s">
        <v>493</v>
      </c>
      <c r="C45" s="47"/>
      <c r="D45" s="47"/>
      <c r="E45" s="47"/>
      <c r="F45" s="46" t="s">
        <v>495</v>
      </c>
      <c r="G45" s="47"/>
      <c r="H45" s="47"/>
      <c r="I45" s="46" t="s">
        <v>503</v>
      </c>
      <c r="J45" s="47"/>
      <c r="K45" s="47"/>
      <c r="L45" s="47"/>
      <c r="M45" s="47"/>
      <c r="N45" s="47"/>
      <c r="O45" s="46" t="s">
        <v>510</v>
      </c>
      <c r="P45" s="47"/>
      <c r="Q45" s="47"/>
      <c r="R45" s="47"/>
      <c r="S45" s="47"/>
      <c r="T45" s="47"/>
    </row>
    <row r="46" spans="2:20" x14ac:dyDescent="0.25">
      <c r="B46" s="47"/>
      <c r="C46" s="47"/>
      <c r="D46" s="47"/>
      <c r="E46" s="47"/>
      <c r="F46" s="47"/>
      <c r="G46" s="47"/>
      <c r="H46" s="47"/>
      <c r="I46" s="46" t="s">
        <v>504</v>
      </c>
      <c r="J46" s="47"/>
      <c r="K46" s="47"/>
      <c r="L46" s="47"/>
      <c r="M46" s="47"/>
      <c r="N46" s="47"/>
      <c r="O46" s="46" t="s">
        <v>511</v>
      </c>
      <c r="P46" s="47"/>
      <c r="Q46" s="47"/>
      <c r="R46" s="47"/>
      <c r="S46" s="47"/>
      <c r="T46" s="47"/>
    </row>
    <row r="47" spans="2:20" x14ac:dyDescent="0.25">
      <c r="B47" s="47"/>
      <c r="C47" s="47"/>
      <c r="D47" s="47"/>
      <c r="E47" s="47"/>
      <c r="F47" s="47"/>
      <c r="G47" s="47"/>
      <c r="H47" s="47"/>
      <c r="I47" s="46" t="s">
        <v>505</v>
      </c>
      <c r="J47" s="47"/>
      <c r="K47" s="47"/>
      <c r="L47" s="47"/>
      <c r="M47" s="47"/>
      <c r="N47" s="47"/>
      <c r="O47" s="47"/>
      <c r="P47" s="47"/>
      <c r="Q47" s="47"/>
      <c r="R47" s="47"/>
      <c r="S47" s="47"/>
      <c r="T47" s="47"/>
    </row>
  </sheetData>
  <mergeCells count="6">
    <mergeCell ref="V7:X7"/>
    <mergeCell ref="B7:D7"/>
    <mergeCell ref="F7:H7"/>
    <mergeCell ref="J7:L7"/>
    <mergeCell ref="N7:P7"/>
    <mergeCell ref="R7: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Products</vt:lpstr>
      <vt:lpstr>Customers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Zeb</dc:creator>
  <cp:lastModifiedBy>Ali Zeb</cp:lastModifiedBy>
  <dcterms:created xsi:type="dcterms:W3CDTF">2026-04-25T07:56:21Z</dcterms:created>
  <dcterms:modified xsi:type="dcterms:W3CDTF">2026-05-03T11:32:28Z</dcterms:modified>
</cp:coreProperties>
</file>